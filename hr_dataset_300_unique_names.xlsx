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mc:AlternateContent xmlns:mc="http://schemas.openxmlformats.org/markup-compatibility/2006">
    <mc:Choice Requires="x15">
      <x15ac:absPath xmlns:x15ac="http://schemas.microsoft.com/office/spreadsheetml/2010/11/ac" url="C:\Users\CAN\Desktop\Excel\"/>
    </mc:Choice>
  </mc:AlternateContent>
  <xr:revisionPtr revIDLastSave="0" documentId="13_ncr:1_{118B9853-116E-41A4-9C26-EA0756963D74}" xr6:coauthVersionLast="46" xr6:coauthVersionMax="46" xr10:uidLastSave="{00000000-0000-0000-0000-000000000000}"/>
  <bookViews>
    <workbookView xWindow="-120" yWindow="-120" windowWidth="29040" windowHeight="15840" activeTab="3" xr2:uid="{00000000-000D-0000-FFFF-FFFF00000000}"/>
  </bookViews>
  <sheets>
    <sheet name="Pivot" sheetId="2" r:id="rId1"/>
    <sheet name="Sheet1" sheetId="4" r:id="rId2"/>
    <sheet name="HR_Dataset_EN" sheetId="1" r:id="rId3"/>
    <sheet name="Dashboard" sheetId="3" r:id="rId4"/>
  </sheets>
  <definedNames>
    <definedName name="Slicer_Department">#N/A</definedName>
  </definedNames>
  <calcPr calcId="181029"/>
  <pivotCaches>
    <pivotCache cacheId="7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G89" i="2" l="1"/>
  <c r="G87" i="2"/>
  <c r="G85" i="2"/>
  <c r="G86" i="2"/>
  <c r="G84" i="2"/>
  <c r="G88" i="2"/>
  <c r="I14" i="4"/>
  <c r="I16" i="4"/>
  <c r="I18" i="4"/>
  <c r="I17" i="4"/>
  <c r="I15" i="4"/>
  <c r="I13" i="4"/>
  <c r="G72"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E113" i="2"/>
  <c r="E112" i="2"/>
  <c r="E111" i="2"/>
  <c r="E110" i="2"/>
  <c r="H84" i="2"/>
  <c r="H86" i="2"/>
  <c r="H85" i="2"/>
  <c r="H87" i="2"/>
  <c r="H89" i="2"/>
  <c r="H88" i="2"/>
</calcChain>
</file>

<file path=xl/sharedStrings.xml><?xml version="1.0" encoding="utf-8"?>
<sst xmlns="http://schemas.openxmlformats.org/spreadsheetml/2006/main" count="2050" uniqueCount="108">
  <si>
    <t>EmployeeID</t>
  </si>
  <si>
    <t>FirstName</t>
  </si>
  <si>
    <t>LastName</t>
  </si>
  <si>
    <t>Gender</t>
  </si>
  <si>
    <t>Age</t>
  </si>
  <si>
    <t>Department</t>
  </si>
  <si>
    <t>JobTitle</t>
  </si>
  <si>
    <t>HireDate</t>
  </si>
  <si>
    <t>Salary</t>
  </si>
  <si>
    <t>PerformanceScore</t>
  </si>
  <si>
    <t>YearsAtCompany</t>
  </si>
  <si>
    <t>Attrition</t>
  </si>
  <si>
    <t>Susan</t>
  </si>
  <si>
    <t>Martin</t>
  </si>
  <si>
    <t>Female</t>
  </si>
  <si>
    <t>Finance</t>
  </si>
  <si>
    <t>Specialist</t>
  </si>
  <si>
    <t>No</t>
  </si>
  <si>
    <t>Sarah</t>
  </si>
  <si>
    <t>Lewis</t>
  </si>
  <si>
    <t>HR</t>
  </si>
  <si>
    <t>Analyst</t>
  </si>
  <si>
    <t>Olivia</t>
  </si>
  <si>
    <t>Johnson</t>
  </si>
  <si>
    <t>Sales</t>
  </si>
  <si>
    <t>Engineer</t>
  </si>
  <si>
    <t>Yes</t>
  </si>
  <si>
    <t>Robert</t>
  </si>
  <si>
    <t>Male</t>
  </si>
  <si>
    <t>Jennifer</t>
  </si>
  <si>
    <t>Lee</t>
  </si>
  <si>
    <t>Manager</t>
  </si>
  <si>
    <t>Karen</t>
  </si>
  <si>
    <t>Hall</t>
  </si>
  <si>
    <t>Assistant</t>
  </si>
  <si>
    <t>Thomas</t>
  </si>
  <si>
    <t>Michael</t>
  </si>
  <si>
    <t>Taylor</t>
  </si>
  <si>
    <t>Mary</t>
  </si>
  <si>
    <t>Marketing</t>
  </si>
  <si>
    <t>John</t>
  </si>
  <si>
    <t>IT</t>
  </si>
  <si>
    <t>William</t>
  </si>
  <si>
    <t>Jackson</t>
  </si>
  <si>
    <t>Sophia</t>
  </si>
  <si>
    <t>White</t>
  </si>
  <si>
    <t>Walker</t>
  </si>
  <si>
    <t>David</t>
  </si>
  <si>
    <t>Thompson</t>
  </si>
  <si>
    <t>Barbara</t>
  </si>
  <si>
    <t>Anthony</t>
  </si>
  <si>
    <t>Paul</t>
  </si>
  <si>
    <t>Allen</t>
  </si>
  <si>
    <t>Linda</t>
  </si>
  <si>
    <t>Smith</t>
  </si>
  <si>
    <t>Operations</t>
  </si>
  <si>
    <t>Garcia</t>
  </si>
  <si>
    <t>Patricia</t>
  </si>
  <si>
    <t>Clark</t>
  </si>
  <si>
    <t>Martinez</t>
  </si>
  <si>
    <t>Elizabeth</t>
  </si>
  <si>
    <t>Christopher</t>
  </si>
  <si>
    <t>Jessica</t>
  </si>
  <si>
    <t>Steven</t>
  </si>
  <si>
    <t>Anderson</t>
  </si>
  <si>
    <t>Charles</t>
  </si>
  <si>
    <t>Robinson</t>
  </si>
  <si>
    <t>Brown</t>
  </si>
  <si>
    <t>Mark</t>
  </si>
  <si>
    <t>Anna</t>
  </si>
  <si>
    <t>Harris</t>
  </si>
  <si>
    <t>Joseph</t>
  </si>
  <si>
    <t>Emma</t>
  </si>
  <si>
    <t>Daniel</t>
  </si>
  <si>
    <t>James</t>
  </si>
  <si>
    <t>Emily</t>
  </si>
  <si>
    <t>Full Name</t>
  </si>
  <si>
    <t>Count of EmployeeID</t>
  </si>
  <si>
    <t>Row Labels</t>
  </si>
  <si>
    <t>Grand Total</t>
  </si>
  <si>
    <t>(All)</t>
  </si>
  <si>
    <t>Sum of Salary</t>
  </si>
  <si>
    <t>Michael Taylor</t>
  </si>
  <si>
    <t>Mary Thomas</t>
  </si>
  <si>
    <t>Barbara Johnson</t>
  </si>
  <si>
    <t>Barbara Hall</t>
  </si>
  <si>
    <t>Mark Johnson</t>
  </si>
  <si>
    <t>Steven Jackson</t>
  </si>
  <si>
    <t>Mary Jackson</t>
  </si>
  <si>
    <t>James Martin</t>
  </si>
  <si>
    <t>Barbara Garcia</t>
  </si>
  <si>
    <t>Susan White</t>
  </si>
  <si>
    <t>Column Labels</t>
  </si>
  <si>
    <t>Age Group</t>
  </si>
  <si>
    <t>20-30</t>
  </si>
  <si>
    <t>31-40</t>
  </si>
  <si>
    <t>41-50</t>
  </si>
  <si>
    <t>51-60</t>
  </si>
  <si>
    <t>job level</t>
  </si>
  <si>
    <t>Year</t>
  </si>
  <si>
    <t>Attrition Rate</t>
  </si>
  <si>
    <t>department</t>
  </si>
  <si>
    <t>rate</t>
  </si>
  <si>
    <t>Sum of PerformanceScore</t>
  </si>
  <si>
    <t>Average of PerformanceScore</t>
  </si>
  <si>
    <t>AverageScore</t>
  </si>
  <si>
    <t>Average of Salary</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</si>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</sst>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9" fontId="0" fillId="0" borderId="0" xfId="1" applyFont="1"/>
    <xf numFmtId="2" fontId="0" fillId="0" borderId="0" xfId="1" applyNumberFormat="1" applyFont="1"/>
    <xf numFmtId="0" fontId="0" fillId="0" borderId="0" xfId="0" applyNumberFormat="1"/>
    <xf numFmtId="9" fontId="0" fillId="0" borderId="0" xfId="1" applyFont="1" applyAlignment="1">
      <alignment horizontal="left"/>
    </xf>
    <xf numFmtId="2" fontId="0" fillId="0" borderId="0" xfId="0" applyNumberFormat="1"/>
    <xf numFmtId="2" fontId="2" fillId="2" borderId="1" xfId="0" applyNumberFormat="1" applyFont="1" applyFill="1" applyBorder="1"/>
  </cellXfs>
  <cellStyles count="2">
    <cellStyle name="Normal" xfId="0" builtinId="0"/>
    <cellStyle name="Percent" xfId="1" builtinId="5"/>
  </cellStyles>
  <dxfs count="16">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2" formatCode="0.00"/>
    </dxf>
    <dxf>
      <numFmt numFmtId="2" formatCode="0.0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164" formatCode="_-[$$-409]* #,##0_ ;_-[$$-409]* \-#,##0\ ;_-[$$-409]* &quot;-&quot;??_ ;_-@_ "/>
    </dxf>
    <dxf>
      <numFmt numFmtId="19" formatCode="dd/mm/yyyy"/>
    </dxf>
    <dxf>
      <numFmt numFmtId="0" formatCode="General"/>
    </dxf>
    <dxf>
      <numFmt numFmtId="164" formatCode="_-[$$-409]* #,##0_ ;_-[$$-409]* \-#,##0\ ;_-[$$-409]* &quot;-&quot;??_ ;_-@_ "/>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bg1">
              <a:lumMod val="95000"/>
            </a:schemeClr>
          </a:solidFill>
          <a:ln w="19050">
            <a:solidFill>
              <a:schemeClr val="lt1"/>
            </a:solidFill>
          </a:ln>
          <a:effectLst/>
        </c:spPr>
      </c:pivotFmt>
    </c:pivotFmts>
    <c:plotArea>
      <c:layout>
        <c:manualLayout>
          <c:layoutTarget val="inner"/>
          <c:xMode val="edge"/>
          <c:yMode val="edge"/>
          <c:x val="0.22222222222222221"/>
          <c:y val="6.4814814814814811E-2"/>
          <c:w val="0.53888888888888886"/>
          <c:h val="0.89814814814814814"/>
        </c:manualLayout>
      </c:layout>
      <c:doughnutChart>
        <c:varyColors val="1"/>
        <c:ser>
          <c:idx val="0"/>
          <c:order val="0"/>
          <c:tx>
            <c:strRef>
              <c:f>Pivot!$H$36</c:f>
              <c:strCache>
                <c:ptCount val="1"/>
                <c:pt idx="0">
                  <c:v>Total</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BC78-430F-80C1-4D79A8D8DB8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BC78-430F-80C1-4D79A8D8DB83}"/>
              </c:ext>
            </c:extLst>
          </c:dPt>
          <c:cat>
            <c:strRef>
              <c:f>Pivot!$G$37:$G$39</c:f>
              <c:strCache>
                <c:ptCount val="2"/>
                <c:pt idx="0">
                  <c:v>No</c:v>
                </c:pt>
                <c:pt idx="1">
                  <c:v>Yes</c:v>
                </c:pt>
              </c:strCache>
            </c:strRef>
          </c:cat>
          <c:val>
            <c:numRef>
              <c:f>Pivot!$H$37:$H$39</c:f>
              <c:numCache>
                <c:formatCode>0%</c:formatCode>
                <c:ptCount val="2"/>
                <c:pt idx="0">
                  <c:v>0.53666666666666663</c:v>
                </c:pt>
                <c:pt idx="1">
                  <c:v>0.46333333333333332</c:v>
                </c:pt>
              </c:numCache>
            </c:numRef>
          </c:val>
          <c:extLst>
            <c:ext xmlns:c16="http://schemas.microsoft.com/office/drawing/2014/chart" uri="{C3380CC4-5D6E-409C-BE32-E72D297353CC}">
              <c16:uniqueId val="{00000000-BC78-430F-80C1-4D79A8D8DB8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Pivot!$D$22:$D$31</c:f>
              <c:strCache>
                <c:ptCount val="10"/>
                <c:pt idx="0">
                  <c:v>Steven Jackson</c:v>
                </c:pt>
                <c:pt idx="1">
                  <c:v>Barbara Garcia</c:v>
                </c:pt>
                <c:pt idx="2">
                  <c:v>Michael Taylor</c:v>
                </c:pt>
                <c:pt idx="3">
                  <c:v>Susan White</c:v>
                </c:pt>
                <c:pt idx="4">
                  <c:v>Mary Thomas</c:v>
                </c:pt>
                <c:pt idx="5">
                  <c:v>Barbara Johnson</c:v>
                </c:pt>
                <c:pt idx="6">
                  <c:v>James Martin</c:v>
                </c:pt>
                <c:pt idx="7">
                  <c:v>Mary Jackson</c:v>
                </c:pt>
                <c:pt idx="8">
                  <c:v>Barbara Hall</c:v>
                </c:pt>
                <c:pt idx="9">
                  <c:v>Mark Johnson</c:v>
                </c:pt>
              </c:strCache>
            </c:strRef>
          </c:cat>
          <c:val>
            <c:numRef>
              <c:f>Pivot!$E$22:$E$31</c:f>
              <c:numCache>
                <c:formatCode>_-[$$-409]* #,##0_ ;_-[$$-409]* \-#,##0\ ;_-[$$-409]* "-"??_ ;_-@_ </c:formatCode>
                <c:ptCount val="10"/>
                <c:pt idx="0">
                  <c:v>94712</c:v>
                </c:pt>
                <c:pt idx="1">
                  <c:v>94451</c:v>
                </c:pt>
                <c:pt idx="2">
                  <c:v>94245</c:v>
                </c:pt>
                <c:pt idx="3">
                  <c:v>93736</c:v>
                </c:pt>
                <c:pt idx="4">
                  <c:v>93619</c:v>
                </c:pt>
                <c:pt idx="5">
                  <c:v>92892</c:v>
                </c:pt>
                <c:pt idx="6">
                  <c:v>92437</c:v>
                </c:pt>
                <c:pt idx="7">
                  <c:v>92190</c:v>
                </c:pt>
                <c:pt idx="8">
                  <c:v>92155</c:v>
                </c:pt>
                <c:pt idx="9">
                  <c:v>91688</c:v>
                </c:pt>
              </c:numCache>
            </c:numRef>
          </c:val>
          <c:extLst>
            <c:ext xmlns:c16="http://schemas.microsoft.com/office/drawing/2014/chart" uri="{C3380CC4-5D6E-409C-BE32-E72D297353CC}">
              <c16:uniqueId val="{00000000-4A1C-47DF-9DD6-45EB5C32BBC7}"/>
            </c:ext>
          </c:extLst>
        </c:ser>
        <c:dLbls>
          <c:showLegendKey val="0"/>
          <c:showVal val="0"/>
          <c:showCatName val="0"/>
          <c:showSerName val="0"/>
          <c:showPercent val="0"/>
          <c:showBubbleSize val="0"/>
        </c:dLbls>
        <c:gapWidth val="75"/>
        <c:overlap val="28"/>
        <c:axId val="1085302816"/>
        <c:axId val="1085304896"/>
      </c:barChart>
      <c:catAx>
        <c:axId val="1085302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85304896"/>
        <c:crosses val="autoZero"/>
        <c:auto val="1"/>
        <c:lblAlgn val="ctr"/>
        <c:lblOffset val="100"/>
        <c:noMultiLvlLbl val="0"/>
      </c:catAx>
      <c:valAx>
        <c:axId val="1085304896"/>
        <c:scaling>
          <c:orientation val="minMax"/>
        </c:scaling>
        <c:delete val="1"/>
        <c:axPos val="t"/>
        <c:numFmt formatCode="_-[$$-409]* #,##0_ ;_-[$$-409]* \-#,##0\ ;_-[$$-409]* &quot;-&quot;??_ ;_-@_ " sourceLinked="1"/>
        <c:majorTickMark val="none"/>
        <c:minorTickMark val="none"/>
        <c:tickLblPos val="nextTo"/>
        <c:crossAx val="108530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Pivot!$H$3:$H$4</c:f>
              <c:strCache>
                <c:ptCount val="1"/>
                <c:pt idx="0">
                  <c:v>Female</c:v>
                </c:pt>
              </c:strCache>
            </c:strRef>
          </c:tx>
          <c:spPr>
            <a:ln w="28575" cap="rnd">
              <a:solidFill>
                <a:schemeClr val="accent1"/>
              </a:solidFill>
              <a:round/>
            </a:ln>
            <a:effectLst/>
          </c:spPr>
          <c:marker>
            <c:symbol val="none"/>
          </c:marker>
          <c:cat>
            <c:strRef>
              <c:f>Pivot!$G$5:$G$11</c:f>
              <c:strCache>
                <c:ptCount val="6"/>
                <c:pt idx="0">
                  <c:v>Finance</c:v>
                </c:pt>
                <c:pt idx="1">
                  <c:v>HR</c:v>
                </c:pt>
                <c:pt idx="2">
                  <c:v>IT</c:v>
                </c:pt>
                <c:pt idx="3">
                  <c:v>Marketing</c:v>
                </c:pt>
                <c:pt idx="4">
                  <c:v>Operations</c:v>
                </c:pt>
                <c:pt idx="5">
                  <c:v>Sales</c:v>
                </c:pt>
              </c:strCache>
            </c:strRef>
          </c:cat>
          <c:val>
            <c:numRef>
              <c:f>Pivot!$H$5:$H$11</c:f>
              <c:numCache>
                <c:formatCode>General</c:formatCode>
                <c:ptCount val="6"/>
                <c:pt idx="0">
                  <c:v>12</c:v>
                </c:pt>
                <c:pt idx="1">
                  <c:v>13</c:v>
                </c:pt>
                <c:pt idx="2">
                  <c:v>12</c:v>
                </c:pt>
                <c:pt idx="3">
                  <c:v>12</c:v>
                </c:pt>
                <c:pt idx="4">
                  <c:v>11</c:v>
                </c:pt>
                <c:pt idx="5">
                  <c:v>14</c:v>
                </c:pt>
              </c:numCache>
            </c:numRef>
          </c:val>
          <c:smooth val="0"/>
          <c:extLst>
            <c:ext xmlns:c16="http://schemas.microsoft.com/office/drawing/2014/chart" uri="{C3380CC4-5D6E-409C-BE32-E72D297353CC}">
              <c16:uniqueId val="{00000000-B335-4942-B71D-637C28060382}"/>
            </c:ext>
          </c:extLst>
        </c:ser>
        <c:ser>
          <c:idx val="1"/>
          <c:order val="1"/>
          <c:tx>
            <c:strRef>
              <c:f>Pivot!$I$3:$I$4</c:f>
              <c:strCache>
                <c:ptCount val="1"/>
                <c:pt idx="0">
                  <c:v>Male</c:v>
                </c:pt>
              </c:strCache>
            </c:strRef>
          </c:tx>
          <c:spPr>
            <a:ln w="28575" cap="rnd">
              <a:solidFill>
                <a:schemeClr val="accent2"/>
              </a:solidFill>
              <a:round/>
            </a:ln>
            <a:effectLst/>
          </c:spPr>
          <c:marker>
            <c:symbol val="none"/>
          </c:marker>
          <c:cat>
            <c:strRef>
              <c:f>Pivot!$G$5:$G$11</c:f>
              <c:strCache>
                <c:ptCount val="6"/>
                <c:pt idx="0">
                  <c:v>Finance</c:v>
                </c:pt>
                <c:pt idx="1">
                  <c:v>HR</c:v>
                </c:pt>
                <c:pt idx="2">
                  <c:v>IT</c:v>
                </c:pt>
                <c:pt idx="3">
                  <c:v>Marketing</c:v>
                </c:pt>
                <c:pt idx="4">
                  <c:v>Operations</c:v>
                </c:pt>
                <c:pt idx="5">
                  <c:v>Sales</c:v>
                </c:pt>
              </c:strCache>
            </c:strRef>
          </c:cat>
          <c:val>
            <c:numRef>
              <c:f>Pivot!$I$5:$I$11</c:f>
              <c:numCache>
                <c:formatCode>General</c:formatCode>
                <c:ptCount val="6"/>
                <c:pt idx="0">
                  <c:v>12</c:v>
                </c:pt>
                <c:pt idx="1">
                  <c:v>10</c:v>
                </c:pt>
                <c:pt idx="2">
                  <c:v>11</c:v>
                </c:pt>
                <c:pt idx="3">
                  <c:v>12</c:v>
                </c:pt>
                <c:pt idx="4">
                  <c:v>7</c:v>
                </c:pt>
                <c:pt idx="5">
                  <c:v>13</c:v>
                </c:pt>
              </c:numCache>
            </c:numRef>
          </c:val>
          <c:smooth val="0"/>
          <c:extLst>
            <c:ext xmlns:c16="http://schemas.microsoft.com/office/drawing/2014/chart" uri="{C3380CC4-5D6E-409C-BE32-E72D297353CC}">
              <c16:uniqueId val="{00000001-B335-4942-B71D-637C28060382}"/>
            </c:ext>
          </c:extLst>
        </c:ser>
        <c:dLbls>
          <c:showLegendKey val="0"/>
          <c:showVal val="0"/>
          <c:showCatName val="0"/>
          <c:showSerName val="0"/>
          <c:showPercent val="0"/>
          <c:showBubbleSize val="0"/>
        </c:dLbls>
        <c:smooth val="0"/>
        <c:axId val="1179805520"/>
        <c:axId val="1179801776"/>
      </c:lineChart>
      <c:catAx>
        <c:axId val="117980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79801776"/>
        <c:crosses val="autoZero"/>
        <c:auto val="1"/>
        <c:lblAlgn val="ctr"/>
        <c:lblOffset val="100"/>
        <c:noMultiLvlLbl val="0"/>
      </c:catAx>
      <c:valAx>
        <c:axId val="117980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7980552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[hr_dataset_300_unique_names.xlsx]Pivot!PivotTable7</c:name>
    <c:fmtId val="3"/>
  </c:pivotSource>
  <c:chart>
    <c:autoTitleDeleted val="0"/>
    <c:pivotFmts>
      <c:pivotFmt>
        <c:idx val="0"/>
        <c:spPr>
          <a:ln w="381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85015737914229E-2"/>
          <c:y val="5.0925925925925923E-2"/>
          <c:w val="0.76477183798316661"/>
          <c:h val="0.8416746864975212"/>
        </c:manualLayout>
      </c:layout>
      <c:lineChart>
        <c:grouping val="standard"/>
        <c:varyColors val="0"/>
        <c:ser>
          <c:idx val="0"/>
          <c:order val="0"/>
          <c:tx>
            <c:strRef>
              <c:f>Pivot!$H$3:$H$4</c:f>
              <c:strCache>
                <c:ptCount val="1"/>
                <c:pt idx="0">
                  <c:v>Female</c:v>
                </c:pt>
              </c:strCache>
            </c:strRef>
          </c:tx>
          <c:spPr>
            <a:ln w="3810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Pivot!$G$5:$G$11</c:f>
              <c:strCache>
                <c:ptCount val="6"/>
                <c:pt idx="0">
                  <c:v>Finance</c:v>
                </c:pt>
                <c:pt idx="1">
                  <c:v>HR</c:v>
                </c:pt>
                <c:pt idx="2">
                  <c:v>IT</c:v>
                </c:pt>
                <c:pt idx="3">
                  <c:v>Marketing</c:v>
                </c:pt>
                <c:pt idx="4">
                  <c:v>Operations</c:v>
                </c:pt>
                <c:pt idx="5">
                  <c:v>Sales</c:v>
                </c:pt>
              </c:strCache>
            </c:strRef>
          </c:cat>
          <c:val>
            <c:numRef>
              <c:f>Pivot!$H$5:$H$11</c:f>
              <c:numCache>
                <c:formatCode>General</c:formatCode>
                <c:ptCount val="6"/>
                <c:pt idx="0">
                  <c:v>12</c:v>
                </c:pt>
                <c:pt idx="1">
                  <c:v>13</c:v>
                </c:pt>
                <c:pt idx="2">
                  <c:v>12</c:v>
                </c:pt>
                <c:pt idx="3">
                  <c:v>12</c:v>
                </c:pt>
                <c:pt idx="4">
                  <c:v>11</c:v>
                </c:pt>
                <c:pt idx="5">
                  <c:v>14</c:v>
                </c:pt>
              </c:numCache>
            </c:numRef>
          </c:val>
          <c:smooth val="0"/>
          <c:extLst>
            <c:ext xmlns:c16="http://schemas.microsoft.com/office/drawing/2014/chart" uri="{C3380CC4-5D6E-409C-BE32-E72D297353CC}">
              <c16:uniqueId val="{00000000-142C-4DAB-9068-61B001DC732C}"/>
            </c:ext>
          </c:extLst>
        </c:ser>
        <c:ser>
          <c:idx val="1"/>
          <c:order val="1"/>
          <c:tx>
            <c:strRef>
              <c:f>Pivot!$I$3:$I$4</c:f>
              <c:strCache>
                <c:ptCount val="1"/>
                <c:pt idx="0">
                  <c:v>Male</c:v>
                </c:pt>
              </c:strCache>
            </c:strRef>
          </c:tx>
          <c:spPr>
            <a:ln w="3810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Pivot!$G$5:$G$11</c:f>
              <c:strCache>
                <c:ptCount val="6"/>
                <c:pt idx="0">
                  <c:v>Finance</c:v>
                </c:pt>
                <c:pt idx="1">
                  <c:v>HR</c:v>
                </c:pt>
                <c:pt idx="2">
                  <c:v>IT</c:v>
                </c:pt>
                <c:pt idx="3">
                  <c:v>Marketing</c:v>
                </c:pt>
                <c:pt idx="4">
                  <c:v>Operations</c:v>
                </c:pt>
                <c:pt idx="5">
                  <c:v>Sales</c:v>
                </c:pt>
              </c:strCache>
            </c:strRef>
          </c:cat>
          <c:val>
            <c:numRef>
              <c:f>Pivot!$I$5:$I$11</c:f>
              <c:numCache>
                <c:formatCode>General</c:formatCode>
                <c:ptCount val="6"/>
                <c:pt idx="0">
                  <c:v>12</c:v>
                </c:pt>
                <c:pt idx="1">
                  <c:v>10</c:v>
                </c:pt>
                <c:pt idx="2">
                  <c:v>11</c:v>
                </c:pt>
                <c:pt idx="3">
                  <c:v>12</c:v>
                </c:pt>
                <c:pt idx="4">
                  <c:v>7</c:v>
                </c:pt>
                <c:pt idx="5">
                  <c:v>13</c:v>
                </c:pt>
              </c:numCache>
            </c:numRef>
          </c:val>
          <c:smooth val="0"/>
          <c:extLst>
            <c:ext xmlns:c16="http://schemas.microsoft.com/office/drawing/2014/chart" uri="{C3380CC4-5D6E-409C-BE32-E72D297353CC}">
              <c16:uniqueId val="{00000001-142C-4DAB-9068-61B001DC732C}"/>
            </c:ext>
          </c:extLst>
        </c:ser>
        <c:dLbls>
          <c:dLblPos val="t"/>
          <c:showLegendKey val="0"/>
          <c:showVal val="1"/>
          <c:showCatName val="0"/>
          <c:showSerName val="0"/>
          <c:showPercent val="0"/>
          <c:showBubbleSize val="0"/>
        </c:dLbls>
        <c:marker val="1"/>
        <c:smooth val="0"/>
        <c:axId val="1362050608"/>
        <c:axId val="1362060176"/>
      </c:lineChart>
      <c:catAx>
        <c:axId val="13620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2060176"/>
        <c:crosses val="autoZero"/>
        <c:auto val="1"/>
        <c:lblAlgn val="ctr"/>
        <c:lblOffset val="100"/>
        <c:noMultiLvlLbl val="0"/>
      </c:catAx>
      <c:valAx>
        <c:axId val="1362060176"/>
        <c:scaling>
          <c:orientation val="minMax"/>
        </c:scaling>
        <c:delete val="1"/>
        <c:axPos val="l"/>
        <c:numFmt formatCode="General" sourceLinked="1"/>
        <c:majorTickMark val="none"/>
        <c:minorTickMark val="none"/>
        <c:tickLblPos val="nextTo"/>
        <c:crossAx val="136205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Pivot!$E$47:$E$48</c:f>
              <c:strCache>
                <c:ptCount val="1"/>
                <c:pt idx="0">
                  <c:v>No</c:v>
                </c:pt>
              </c:strCache>
            </c:strRef>
          </c:tx>
          <c:spPr>
            <a:solidFill>
              <a:schemeClr val="accent1"/>
            </a:solidFill>
            <a:ln>
              <a:noFill/>
            </a:ln>
            <a:effectLst/>
          </c:spPr>
          <c:invertIfNegative val="0"/>
          <c:cat>
            <c:strRef>
              <c:f>Pivot!$D$49:$D$65</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Pivot!$E$49:$E$65</c:f>
              <c:numCache>
                <c:formatCode>General</c:formatCode>
                <c:ptCount val="16"/>
                <c:pt idx="0">
                  <c:v>12</c:v>
                </c:pt>
                <c:pt idx="1">
                  <c:v>11</c:v>
                </c:pt>
                <c:pt idx="2">
                  <c:v>8</c:v>
                </c:pt>
                <c:pt idx="3">
                  <c:v>7</c:v>
                </c:pt>
                <c:pt idx="4">
                  <c:v>10</c:v>
                </c:pt>
                <c:pt idx="5">
                  <c:v>11</c:v>
                </c:pt>
                <c:pt idx="6">
                  <c:v>13</c:v>
                </c:pt>
                <c:pt idx="7">
                  <c:v>11</c:v>
                </c:pt>
                <c:pt idx="8">
                  <c:v>10</c:v>
                </c:pt>
                <c:pt idx="9">
                  <c:v>12</c:v>
                </c:pt>
                <c:pt idx="10">
                  <c:v>8</c:v>
                </c:pt>
                <c:pt idx="11">
                  <c:v>11</c:v>
                </c:pt>
                <c:pt idx="12">
                  <c:v>11</c:v>
                </c:pt>
                <c:pt idx="13">
                  <c:v>15</c:v>
                </c:pt>
                <c:pt idx="14">
                  <c:v>11</c:v>
                </c:pt>
              </c:numCache>
            </c:numRef>
          </c:val>
          <c:extLst>
            <c:ext xmlns:c16="http://schemas.microsoft.com/office/drawing/2014/chart" uri="{C3380CC4-5D6E-409C-BE32-E72D297353CC}">
              <c16:uniqueId val="{00000000-2257-491D-B65E-4052BB941F01}"/>
            </c:ext>
          </c:extLst>
        </c:ser>
        <c:ser>
          <c:idx val="1"/>
          <c:order val="1"/>
          <c:tx>
            <c:strRef>
              <c:f>Pivot!$F$47:$F$48</c:f>
              <c:strCache>
                <c:ptCount val="1"/>
                <c:pt idx="0">
                  <c:v>Yes</c:v>
                </c:pt>
              </c:strCache>
            </c:strRef>
          </c:tx>
          <c:spPr>
            <a:solidFill>
              <a:schemeClr val="accent2"/>
            </a:solidFill>
            <a:ln>
              <a:noFill/>
            </a:ln>
            <a:effectLst/>
          </c:spPr>
          <c:invertIfNegative val="0"/>
          <c:cat>
            <c:strRef>
              <c:f>Pivot!$D$49:$D$65</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Pivot!$F$49:$F$65</c:f>
              <c:numCache>
                <c:formatCode>General</c:formatCode>
                <c:ptCount val="16"/>
                <c:pt idx="0">
                  <c:v>11</c:v>
                </c:pt>
                <c:pt idx="1">
                  <c:v>4</c:v>
                </c:pt>
                <c:pt idx="2">
                  <c:v>12</c:v>
                </c:pt>
                <c:pt idx="3">
                  <c:v>13</c:v>
                </c:pt>
                <c:pt idx="4">
                  <c:v>11</c:v>
                </c:pt>
                <c:pt idx="5">
                  <c:v>7</c:v>
                </c:pt>
                <c:pt idx="6">
                  <c:v>10</c:v>
                </c:pt>
                <c:pt idx="7">
                  <c:v>8</c:v>
                </c:pt>
                <c:pt idx="8">
                  <c:v>6</c:v>
                </c:pt>
                <c:pt idx="9">
                  <c:v>9</c:v>
                </c:pt>
                <c:pt idx="10">
                  <c:v>6</c:v>
                </c:pt>
                <c:pt idx="11">
                  <c:v>11</c:v>
                </c:pt>
                <c:pt idx="12">
                  <c:v>13</c:v>
                </c:pt>
                <c:pt idx="13">
                  <c:v>9</c:v>
                </c:pt>
                <c:pt idx="14">
                  <c:v>8</c:v>
                </c:pt>
                <c:pt idx="15">
                  <c:v>1</c:v>
                </c:pt>
              </c:numCache>
            </c:numRef>
          </c:val>
          <c:extLst>
            <c:ext xmlns:c16="http://schemas.microsoft.com/office/drawing/2014/chart" uri="{C3380CC4-5D6E-409C-BE32-E72D297353CC}">
              <c16:uniqueId val="{00000001-2257-491D-B65E-4052BB941F01}"/>
            </c:ext>
          </c:extLst>
        </c:ser>
        <c:dLbls>
          <c:showLegendKey val="0"/>
          <c:showVal val="0"/>
          <c:showCatName val="0"/>
          <c:showSerName val="0"/>
          <c:showPercent val="0"/>
          <c:showBubbleSize val="0"/>
        </c:dLbls>
        <c:gapWidth val="150"/>
        <c:overlap val="100"/>
        <c:axId val="1362075568"/>
        <c:axId val="1362075984"/>
      </c:barChart>
      <c:catAx>
        <c:axId val="136207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2075984"/>
        <c:crosses val="autoZero"/>
        <c:auto val="1"/>
        <c:lblAlgn val="ctr"/>
        <c:lblOffset val="100"/>
        <c:noMultiLvlLbl val="0"/>
      </c:catAx>
      <c:valAx>
        <c:axId val="136207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207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Pivot!$I$83</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Pivot!$H$84:$H$89</c:f>
              <c:numCache>
                <c:formatCode>0%</c:formatCode>
                <c:ptCount val="6"/>
                <c:pt idx="0">
                  <c:v>0.54</c:v>
                </c:pt>
                <c:pt idx="1">
                  <c:v>0.51063829787234039</c:v>
                </c:pt>
                <c:pt idx="2">
                  <c:v>0.48648648648648651</c:v>
                </c:pt>
                <c:pt idx="3">
                  <c:v>0.47916666666666669</c:v>
                </c:pt>
                <c:pt idx="4">
                  <c:v>0.4</c:v>
                </c:pt>
                <c:pt idx="5">
                  <c:v>0.39655172413793105</c:v>
                </c:pt>
              </c:numCache>
            </c:numRef>
          </c:cat>
          <c:val>
            <c:numRef>
              <c:f>Pivot!$I$84:$I$89</c:f>
              <c:numCache>
                <c:formatCode>0.00</c:formatCode>
                <c:ptCount val="6"/>
              </c:numCache>
            </c:numRef>
          </c:val>
          <c:extLst>
            <c:ext xmlns:c16="http://schemas.microsoft.com/office/drawing/2014/chart" uri="{C3380CC4-5D6E-409C-BE32-E72D297353CC}">
              <c16:uniqueId val="{00000000-43BD-41AA-B207-BC35E73A48AB}"/>
            </c:ext>
          </c:extLst>
        </c:ser>
        <c:dLbls>
          <c:showLegendKey val="0"/>
          <c:showVal val="0"/>
          <c:showCatName val="0"/>
          <c:showSerName val="0"/>
          <c:showPercent val="0"/>
          <c:showBubbleSize val="0"/>
        </c:dLbls>
        <c:gapWidth val="182"/>
        <c:axId val="1362076816"/>
        <c:axId val="1362081808"/>
      </c:barChart>
      <c:catAx>
        <c:axId val="1362076816"/>
        <c:scaling>
          <c:orientation val="minMax"/>
        </c:scaling>
        <c:delete val="0"/>
        <c:axPos val="l"/>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2081808"/>
        <c:crosses val="autoZero"/>
        <c:auto val="1"/>
        <c:lblAlgn val="ctr"/>
        <c:lblOffset val="100"/>
        <c:noMultiLvlLbl val="0"/>
      </c:catAx>
      <c:valAx>
        <c:axId val="1362081808"/>
        <c:scaling>
          <c:orientation val="minMax"/>
        </c:scaling>
        <c:delete val="1"/>
        <c:axPos val="b"/>
        <c:numFmt formatCode="0.00" sourceLinked="1"/>
        <c:majorTickMark val="none"/>
        <c:minorTickMark val="none"/>
        <c:tickLblPos val="nextTo"/>
        <c:crossAx val="13620768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6.1111111111111109E-2"/>
          <c:y val="0.17171296296296298"/>
          <c:w val="0.93888888888888888"/>
          <c:h val="0.77736111111111106"/>
        </c:manualLayout>
      </c:layout>
      <c:barChart>
        <c:barDir val="bar"/>
        <c:grouping val="stacked"/>
        <c:varyColors val="0"/>
        <c:ser>
          <c:idx val="0"/>
          <c:order val="0"/>
          <c:tx>
            <c:strRef>
              <c:f>Pivot!$E$109</c:f>
              <c:strCache>
                <c:ptCount val="1"/>
                <c:pt idx="0">
                  <c:v>Male</c:v>
                </c:pt>
              </c:strCache>
            </c:strRef>
          </c:tx>
          <c:spPr>
            <a:solidFill>
              <a:schemeClr val="accent1"/>
            </a:solidFill>
            <a:ln>
              <a:noFill/>
            </a:ln>
            <a:effectLst/>
          </c:spPr>
          <c:invertIfNegative val="0"/>
          <c:cat>
            <c:strRef>
              <c:f>Pivot!$D$110:$D$113</c:f>
              <c:strCache>
                <c:ptCount val="4"/>
                <c:pt idx="0">
                  <c:v>20-30</c:v>
                </c:pt>
                <c:pt idx="1">
                  <c:v>31-40</c:v>
                </c:pt>
                <c:pt idx="2">
                  <c:v>41-50</c:v>
                </c:pt>
                <c:pt idx="3">
                  <c:v>51-60</c:v>
                </c:pt>
              </c:strCache>
            </c:strRef>
          </c:cat>
          <c:val>
            <c:numRef>
              <c:f>Pivot!$E$110:$E$113</c:f>
              <c:numCache>
                <c:formatCode>General</c:formatCode>
                <c:ptCount val="4"/>
                <c:pt idx="0">
                  <c:v>-21</c:v>
                </c:pt>
                <c:pt idx="1">
                  <c:v>-18</c:v>
                </c:pt>
                <c:pt idx="2">
                  <c:v>-25</c:v>
                </c:pt>
                <c:pt idx="3">
                  <c:v>-25</c:v>
                </c:pt>
              </c:numCache>
            </c:numRef>
          </c:val>
          <c:extLst>
            <c:ext xmlns:c16="http://schemas.microsoft.com/office/drawing/2014/chart" uri="{C3380CC4-5D6E-409C-BE32-E72D297353CC}">
              <c16:uniqueId val="{00000000-0085-49CE-B3A7-7C40FA03748A}"/>
            </c:ext>
          </c:extLst>
        </c:ser>
        <c:ser>
          <c:idx val="1"/>
          <c:order val="1"/>
          <c:tx>
            <c:strRef>
              <c:f>Pivot!$F$109</c:f>
              <c:strCache>
                <c:ptCount val="1"/>
                <c:pt idx="0">
                  <c:v>Female</c:v>
                </c:pt>
              </c:strCache>
            </c:strRef>
          </c:tx>
          <c:spPr>
            <a:solidFill>
              <a:schemeClr val="accent2"/>
            </a:solidFill>
            <a:ln>
              <a:noFill/>
            </a:ln>
            <a:effectLst/>
          </c:spPr>
          <c:invertIfNegative val="0"/>
          <c:cat>
            <c:strRef>
              <c:f>Pivot!$D$110:$D$113</c:f>
              <c:strCache>
                <c:ptCount val="4"/>
                <c:pt idx="0">
                  <c:v>20-30</c:v>
                </c:pt>
                <c:pt idx="1">
                  <c:v>31-40</c:v>
                </c:pt>
                <c:pt idx="2">
                  <c:v>41-50</c:v>
                </c:pt>
                <c:pt idx="3">
                  <c:v>51-60</c:v>
                </c:pt>
              </c:strCache>
            </c:strRef>
          </c:cat>
          <c:val>
            <c:numRef>
              <c:f>Pivot!$F$110:$F$113</c:f>
              <c:numCache>
                <c:formatCode>General</c:formatCode>
                <c:ptCount val="4"/>
                <c:pt idx="0">
                  <c:v>20</c:v>
                </c:pt>
                <c:pt idx="1">
                  <c:v>22</c:v>
                </c:pt>
                <c:pt idx="2">
                  <c:v>20</c:v>
                </c:pt>
                <c:pt idx="3">
                  <c:v>10</c:v>
                </c:pt>
              </c:numCache>
            </c:numRef>
          </c:val>
          <c:extLst>
            <c:ext xmlns:c16="http://schemas.microsoft.com/office/drawing/2014/chart" uri="{C3380CC4-5D6E-409C-BE32-E72D297353CC}">
              <c16:uniqueId val="{00000001-0085-49CE-B3A7-7C40FA03748A}"/>
            </c:ext>
          </c:extLst>
        </c:ser>
        <c:dLbls>
          <c:showLegendKey val="0"/>
          <c:showVal val="0"/>
          <c:showCatName val="0"/>
          <c:showSerName val="0"/>
          <c:showPercent val="0"/>
          <c:showBubbleSize val="0"/>
        </c:dLbls>
        <c:gapWidth val="36"/>
        <c:overlap val="100"/>
        <c:axId val="854916335"/>
        <c:axId val="854910095"/>
      </c:barChart>
      <c:catAx>
        <c:axId val="8549163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54910095"/>
        <c:crosses val="autoZero"/>
        <c:auto val="1"/>
        <c:lblAlgn val="ctr"/>
        <c:lblOffset val="100"/>
        <c:noMultiLvlLbl val="0"/>
      </c:catAx>
      <c:valAx>
        <c:axId val="854910095"/>
        <c:scaling>
          <c:orientation val="minMax"/>
        </c:scaling>
        <c:delete val="1"/>
        <c:axPos val="t"/>
        <c:numFmt formatCode="General" sourceLinked="1"/>
        <c:majorTickMark val="none"/>
        <c:minorTickMark val="none"/>
        <c:tickLblPos val="nextTo"/>
        <c:crossAx val="854916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Average</a:t>
            </a:r>
            <a:r>
              <a:rPr lang="tr-TR" baseline="0"/>
              <a:t> Performance Score by department</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bar"/>
        <c:grouping val="clustered"/>
        <c:varyColors val="0"/>
        <c:ser>
          <c:idx val="0"/>
          <c:order val="0"/>
          <c:tx>
            <c:strRef>
              <c:f>Pivot!$N$117</c:f>
              <c:strCache>
                <c:ptCount val="1"/>
                <c:pt idx="0">
                  <c:v>PerformanceScore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Pivot!$M$118:$M$123</c:f>
              <c:strCache>
                <c:ptCount val="6"/>
                <c:pt idx="0">
                  <c:v>Sales</c:v>
                </c:pt>
                <c:pt idx="1">
                  <c:v>Operations</c:v>
                </c:pt>
                <c:pt idx="2">
                  <c:v>Marketing</c:v>
                </c:pt>
                <c:pt idx="3">
                  <c:v>IT</c:v>
                </c:pt>
                <c:pt idx="4">
                  <c:v>Finance</c:v>
                </c:pt>
                <c:pt idx="5">
                  <c:v>HR</c:v>
                </c:pt>
              </c:strCache>
            </c:strRef>
          </c:cat>
          <c:val>
            <c:numRef>
              <c:f>Pivot!$N$118:$N$123</c:f>
              <c:numCache>
                <c:formatCode>0.00</c:formatCode>
                <c:ptCount val="6"/>
                <c:pt idx="0">
                  <c:v>3.4347826086956523</c:v>
                </c:pt>
                <c:pt idx="1">
                  <c:v>3.4210526315789473</c:v>
                </c:pt>
                <c:pt idx="2">
                  <c:v>3.0434782608695654</c:v>
                </c:pt>
                <c:pt idx="3">
                  <c:v>2.92</c:v>
                </c:pt>
                <c:pt idx="4">
                  <c:v>2.8611111111111112</c:v>
                </c:pt>
                <c:pt idx="5">
                  <c:v>2.6857142857142855</c:v>
                </c:pt>
              </c:numCache>
            </c:numRef>
          </c:val>
          <c:extLst>
            <c:ext xmlns:c16="http://schemas.microsoft.com/office/drawing/2014/chart" uri="{C3380CC4-5D6E-409C-BE32-E72D297353CC}">
              <c16:uniqueId val="{00000000-A53C-4E23-965C-C9FC0BD1DAD6}"/>
            </c:ext>
          </c:extLst>
        </c:ser>
        <c:dLbls>
          <c:showLegendKey val="0"/>
          <c:showVal val="0"/>
          <c:showCatName val="0"/>
          <c:showSerName val="0"/>
          <c:showPercent val="0"/>
          <c:showBubbleSize val="0"/>
        </c:dLbls>
        <c:gapWidth val="182"/>
        <c:axId val="852401519"/>
        <c:axId val="852401935"/>
      </c:barChart>
      <c:lineChart>
        <c:grouping val="standard"/>
        <c:varyColors val="0"/>
        <c:ser>
          <c:idx val="1"/>
          <c:order val="1"/>
          <c:tx>
            <c:strRef>
              <c:f>Pivot!$O$117</c:f>
              <c:strCache>
                <c:ptCount val="1"/>
                <c:pt idx="0">
                  <c:v>AverageScore</c:v>
                </c:pt>
              </c:strCache>
            </c:strRef>
          </c:tx>
          <c:spPr>
            <a:ln w="28575" cap="rnd">
              <a:solidFill>
                <a:schemeClr val="accent2"/>
              </a:solidFill>
              <a:round/>
            </a:ln>
            <a:effectLst/>
          </c:spPr>
          <c:marker>
            <c:symbol val="none"/>
          </c:marker>
          <c:cat>
            <c:strRef>
              <c:f>Pivot!$M$118:$M$123</c:f>
              <c:strCache>
                <c:ptCount val="6"/>
                <c:pt idx="0">
                  <c:v>Sales</c:v>
                </c:pt>
                <c:pt idx="1">
                  <c:v>Operations</c:v>
                </c:pt>
                <c:pt idx="2">
                  <c:v>Marketing</c:v>
                </c:pt>
                <c:pt idx="3">
                  <c:v>IT</c:v>
                </c:pt>
                <c:pt idx="4">
                  <c:v>Finance</c:v>
                </c:pt>
                <c:pt idx="5">
                  <c:v>HR</c:v>
                </c:pt>
              </c:strCache>
            </c:strRef>
          </c:cat>
          <c:val>
            <c:numRef>
              <c:f>Pivot!$O$118:$O$123</c:f>
              <c:numCache>
                <c:formatCode>0.00</c:formatCode>
                <c:ptCount val="6"/>
                <c:pt idx="0">
                  <c:v>3.0062111801242235</c:v>
                </c:pt>
                <c:pt idx="1">
                  <c:v>3.0062111801242235</c:v>
                </c:pt>
                <c:pt idx="2">
                  <c:v>3.0062111801242235</c:v>
                </c:pt>
                <c:pt idx="3">
                  <c:v>3.0062111801242235</c:v>
                </c:pt>
                <c:pt idx="4">
                  <c:v>3.0062111801242235</c:v>
                </c:pt>
                <c:pt idx="5">
                  <c:v>3.0062111801242235</c:v>
                </c:pt>
              </c:numCache>
            </c:numRef>
          </c:val>
          <c:smooth val="0"/>
          <c:extLst>
            <c:ext xmlns:c16="http://schemas.microsoft.com/office/drawing/2014/chart" uri="{C3380CC4-5D6E-409C-BE32-E72D297353CC}">
              <c16:uniqueId val="{00000001-A53C-4E23-965C-C9FC0BD1DAD6}"/>
            </c:ext>
          </c:extLst>
        </c:ser>
        <c:dLbls>
          <c:showLegendKey val="0"/>
          <c:showVal val="0"/>
          <c:showCatName val="0"/>
          <c:showSerName val="0"/>
          <c:showPercent val="0"/>
          <c:showBubbleSize val="0"/>
        </c:dLbls>
        <c:marker val="1"/>
        <c:smooth val="0"/>
        <c:axId val="690972927"/>
        <c:axId val="690971679"/>
      </c:lineChart>
      <c:catAx>
        <c:axId val="85240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52401935"/>
        <c:crosses val="autoZero"/>
        <c:auto val="1"/>
        <c:lblAlgn val="ctr"/>
        <c:lblOffset val="100"/>
        <c:noMultiLvlLbl val="0"/>
      </c:catAx>
      <c:valAx>
        <c:axId val="852401935"/>
        <c:scaling>
          <c:orientation val="minMax"/>
        </c:scaling>
        <c:delete val="1"/>
        <c:axPos val="b"/>
        <c:numFmt formatCode="0.00" sourceLinked="1"/>
        <c:majorTickMark val="none"/>
        <c:minorTickMark val="none"/>
        <c:tickLblPos val="nextTo"/>
        <c:crossAx val="852401519"/>
        <c:crosses val="autoZero"/>
        <c:crossBetween val="between"/>
      </c:valAx>
      <c:valAx>
        <c:axId val="6909716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90972927"/>
        <c:crosses val="max"/>
        <c:crossBetween val="between"/>
      </c:valAx>
      <c:catAx>
        <c:axId val="690972927"/>
        <c:scaling>
          <c:orientation val="minMax"/>
        </c:scaling>
        <c:delete val="1"/>
        <c:axPos val="b"/>
        <c:numFmt formatCode="General" sourceLinked="1"/>
        <c:majorTickMark val="out"/>
        <c:minorTickMark val="none"/>
        <c:tickLblPos val="nextTo"/>
        <c:crossAx val="69097167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Average</a:t>
            </a:r>
            <a:r>
              <a:rPr lang="tr-TR"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Pivot!$H$142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Pivot!$G$143:$G$148</c:f>
              <c:strCache>
                <c:ptCount val="6"/>
                <c:pt idx="0">
                  <c:v>Marketing</c:v>
                </c:pt>
                <c:pt idx="1">
                  <c:v>HR</c:v>
                </c:pt>
                <c:pt idx="2">
                  <c:v>IT</c:v>
                </c:pt>
                <c:pt idx="3">
                  <c:v>Operations</c:v>
                </c:pt>
                <c:pt idx="4">
                  <c:v>Finance</c:v>
                </c:pt>
                <c:pt idx="5">
                  <c:v>Sales</c:v>
                </c:pt>
              </c:strCache>
            </c:strRef>
          </c:cat>
          <c:val>
            <c:numRef>
              <c:f>Pivot!$H$143:$H$148</c:f>
              <c:numCache>
                <c:formatCode>_-[$$-409]* #,##0_ ;_-[$$-409]* \-#,##0\ ;_-[$$-409]* "-"??_ ;_-@_ </c:formatCode>
                <c:ptCount val="6"/>
                <c:pt idx="0">
                  <c:v>65047.478260869568</c:v>
                </c:pt>
                <c:pt idx="1">
                  <c:v>63932.542857142857</c:v>
                </c:pt>
                <c:pt idx="2">
                  <c:v>57488.4</c:v>
                </c:pt>
                <c:pt idx="3">
                  <c:v>56427.210526315786</c:v>
                </c:pt>
                <c:pt idx="4">
                  <c:v>56154.805555555555</c:v>
                </c:pt>
                <c:pt idx="5">
                  <c:v>55064.608695652176</c:v>
                </c:pt>
              </c:numCache>
            </c:numRef>
          </c:val>
          <c:extLst>
            <c:ext xmlns:c16="http://schemas.microsoft.com/office/drawing/2014/chart" uri="{C3380CC4-5D6E-409C-BE32-E72D297353CC}">
              <c16:uniqueId val="{00000000-1734-4013-8BB0-E942E4C2E881}"/>
            </c:ext>
          </c:extLst>
        </c:ser>
        <c:dLbls>
          <c:dLblPos val="inEnd"/>
          <c:showLegendKey val="0"/>
          <c:showVal val="1"/>
          <c:showCatName val="0"/>
          <c:showSerName val="0"/>
          <c:showPercent val="0"/>
          <c:showBubbleSize val="0"/>
        </c:dLbls>
        <c:gapWidth val="182"/>
        <c:axId val="629220831"/>
        <c:axId val="629210015"/>
      </c:barChart>
      <c:catAx>
        <c:axId val="6292208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9210015"/>
        <c:crosses val="autoZero"/>
        <c:auto val="1"/>
        <c:lblAlgn val="ctr"/>
        <c:lblOffset val="100"/>
        <c:noMultiLvlLbl val="0"/>
      </c:catAx>
      <c:valAx>
        <c:axId val="629210015"/>
        <c:scaling>
          <c:orientation val="minMax"/>
        </c:scaling>
        <c:delete val="1"/>
        <c:axPos val="t"/>
        <c:numFmt formatCode="_-[$$-409]* #,##0_ ;_-[$$-409]* \-#,##0\ ;_-[$$-409]* &quot;-&quot;??_ ;_-@_ " sourceLinked="1"/>
        <c:majorTickMark val="none"/>
        <c:minorTickMark val="none"/>
        <c:tickLblPos val="nextTo"/>
        <c:crossAx val="629220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[hr_dataset_300_unique_names.xlsx]Pivot!PivotTable23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612822464712025E-2"/>
              <c:y val="1.1525930318037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30403209244575E-2"/>
              <c:y val="1.9209883863395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07362888320117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34435301690327E-2"/>
              <c:y val="1.9209883863395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128224647120291E-2"/>
              <c:y val="1.152593031803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1.612822464712025E-2"/>
              <c:y val="3.84197677267900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38241925546745E-2"/>
              <c:y val="-3.521771357819173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61282246471203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6.9120962773372074E-3"/>
              <c:y val="-3.521771357819173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Pivot!$I$157:$I$158</c:f>
              <c:strCache>
                <c:ptCount val="1"/>
                <c:pt idx="0">
                  <c:v>Female</c:v>
                </c:pt>
              </c:strCache>
            </c:strRef>
          </c:tx>
          <c:spPr>
            <a:solidFill>
              <a:schemeClr val="accent1"/>
            </a:solidFill>
            <a:ln>
              <a:noFill/>
            </a:ln>
            <a:effectLst/>
          </c:spPr>
          <c:invertIfNegative val="0"/>
          <c:dLbls>
            <c:dLbl>
              <c:idx val="0"/>
              <c:layout>
                <c:manualLayout>
                  <c:x val="-2.073628883201175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A1-4FE0-AC76-E6556BAA8E79}"/>
                </c:ext>
              </c:extLst>
            </c:dLbl>
            <c:dLbl>
              <c:idx val="1"/>
              <c:layout>
                <c:manualLayout>
                  <c:x val="-2.534435301690327E-2"/>
                  <c:y val="1.92098838633950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A1-4FE0-AC76-E6556BAA8E79}"/>
                </c:ext>
              </c:extLst>
            </c:dLbl>
            <c:dLbl>
              <c:idx val="2"/>
              <c:layout>
                <c:manualLayout>
                  <c:x val="-1.6128224647120291E-2"/>
                  <c:y val="1.15259303180369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A1-4FE0-AC76-E6556BAA8E79}"/>
                </c:ext>
              </c:extLst>
            </c:dLbl>
            <c:dLbl>
              <c:idx val="4"/>
              <c:layout>
                <c:manualLayout>
                  <c:x val="-1.612822464712033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0A1-4FE0-AC76-E6556BAA8E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Pivot!$H$159:$H$163</c:f>
              <c:strCache>
                <c:ptCount val="5"/>
                <c:pt idx="0">
                  <c:v>Analyst</c:v>
                </c:pt>
                <c:pt idx="1">
                  <c:v>Assistant</c:v>
                </c:pt>
                <c:pt idx="2">
                  <c:v>Engineer</c:v>
                </c:pt>
                <c:pt idx="3">
                  <c:v>Manager</c:v>
                </c:pt>
                <c:pt idx="4">
                  <c:v>Specialist</c:v>
                </c:pt>
              </c:strCache>
            </c:strRef>
          </c:cat>
          <c:val>
            <c:numRef>
              <c:f>Pivot!$I$159:$I$163</c:f>
              <c:numCache>
                <c:formatCode>_-[$$-409]* #,##0_ ;_-[$$-409]* \-#,##0\ ;_-[$$-409]* "-"??_ ;_-@_ </c:formatCode>
                <c:ptCount val="5"/>
                <c:pt idx="0">
                  <c:v>61247.5</c:v>
                </c:pt>
                <c:pt idx="1">
                  <c:v>55054.75</c:v>
                </c:pt>
                <c:pt idx="2">
                  <c:v>60813.461538461539</c:v>
                </c:pt>
                <c:pt idx="3">
                  <c:v>66674.8</c:v>
                </c:pt>
                <c:pt idx="4">
                  <c:v>59068.769230769234</c:v>
                </c:pt>
              </c:numCache>
            </c:numRef>
          </c:val>
          <c:extLst>
            <c:ext xmlns:c16="http://schemas.microsoft.com/office/drawing/2014/chart" uri="{C3380CC4-5D6E-409C-BE32-E72D297353CC}">
              <c16:uniqueId val="{00000000-30A1-4FE0-AC76-E6556BAA8E79}"/>
            </c:ext>
          </c:extLst>
        </c:ser>
        <c:ser>
          <c:idx val="1"/>
          <c:order val="1"/>
          <c:tx>
            <c:strRef>
              <c:f>Pivot!$J$157:$J$158</c:f>
              <c:strCache>
                <c:ptCount val="1"/>
                <c:pt idx="0">
                  <c:v>Male</c:v>
                </c:pt>
              </c:strCache>
            </c:strRef>
          </c:tx>
          <c:spPr>
            <a:solidFill>
              <a:schemeClr val="accent2"/>
            </a:solidFill>
            <a:ln>
              <a:noFill/>
            </a:ln>
            <a:effectLst/>
          </c:spPr>
          <c:invertIfNegative val="0"/>
          <c:dLbls>
            <c:dLbl>
              <c:idx val="0"/>
              <c:layout>
                <c:manualLayout>
                  <c:x val="2.30403209244575E-2"/>
                  <c:y val="1.92098838633950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A1-4FE0-AC76-E6556BAA8E79}"/>
                </c:ext>
              </c:extLst>
            </c:dLbl>
            <c:dLbl>
              <c:idx val="1"/>
              <c:layout>
                <c:manualLayout>
                  <c:x val="6.9120962773372074E-3"/>
                  <c:y val="-3.521771357819173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0A1-4FE0-AC76-E6556BAA8E79}"/>
                </c:ext>
              </c:extLst>
            </c:dLbl>
            <c:dLbl>
              <c:idx val="2"/>
              <c:layout>
                <c:manualLayout>
                  <c:x val="1.612822464712025E-2"/>
                  <c:y val="3.84197677267900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0A1-4FE0-AC76-E6556BAA8E79}"/>
                </c:ext>
              </c:extLst>
            </c:dLbl>
            <c:dLbl>
              <c:idx val="3"/>
              <c:layout>
                <c:manualLayout>
                  <c:x val="1.38241925546745E-2"/>
                  <c:y val="-3.521771357819173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A1-4FE0-AC76-E6556BAA8E79}"/>
                </c:ext>
              </c:extLst>
            </c:dLbl>
            <c:dLbl>
              <c:idx val="4"/>
              <c:layout>
                <c:manualLayout>
                  <c:x val="1.612822464712025E-2"/>
                  <c:y val="1.15259303180370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A1-4FE0-AC76-E6556BAA8E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Pivot!$H$159:$H$163</c:f>
              <c:strCache>
                <c:ptCount val="5"/>
                <c:pt idx="0">
                  <c:v>Analyst</c:v>
                </c:pt>
                <c:pt idx="1">
                  <c:v>Assistant</c:v>
                </c:pt>
                <c:pt idx="2">
                  <c:v>Engineer</c:v>
                </c:pt>
                <c:pt idx="3">
                  <c:v>Manager</c:v>
                </c:pt>
                <c:pt idx="4">
                  <c:v>Specialist</c:v>
                </c:pt>
              </c:strCache>
            </c:strRef>
          </c:cat>
          <c:val>
            <c:numRef>
              <c:f>Pivot!$J$159:$J$163</c:f>
              <c:numCache>
                <c:formatCode>_-[$$-409]* #,##0_ ;_-[$$-409]* \-#,##0\ ;_-[$$-409]* "-"??_ ;_-@_ </c:formatCode>
                <c:ptCount val="5"/>
                <c:pt idx="0">
                  <c:v>61575.588235294119</c:v>
                </c:pt>
                <c:pt idx="1">
                  <c:v>50061.555555555555</c:v>
                </c:pt>
                <c:pt idx="2">
                  <c:v>59867.833333333336</c:v>
                </c:pt>
                <c:pt idx="3">
                  <c:v>58745.448275862072</c:v>
                </c:pt>
                <c:pt idx="4">
                  <c:v>57593.5</c:v>
                </c:pt>
              </c:numCache>
            </c:numRef>
          </c:val>
          <c:extLst>
            <c:ext xmlns:c16="http://schemas.microsoft.com/office/drawing/2014/chart" uri="{C3380CC4-5D6E-409C-BE32-E72D297353CC}">
              <c16:uniqueId val="{00000001-30A1-4FE0-AC76-E6556BAA8E79}"/>
            </c:ext>
          </c:extLst>
        </c:ser>
        <c:dLbls>
          <c:dLblPos val="outEnd"/>
          <c:showLegendKey val="0"/>
          <c:showVal val="1"/>
          <c:showCatName val="0"/>
          <c:showSerName val="0"/>
          <c:showPercent val="0"/>
          <c:showBubbleSize val="0"/>
        </c:dLbls>
        <c:gapWidth val="219"/>
        <c:overlap val="-27"/>
        <c:axId val="1023691759"/>
        <c:axId val="1023689679"/>
      </c:barChart>
      <c:catAx>
        <c:axId val="102369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23689679"/>
        <c:crosses val="autoZero"/>
        <c:auto val="1"/>
        <c:lblAlgn val="ctr"/>
        <c:lblOffset val="100"/>
        <c:noMultiLvlLbl val="0"/>
      </c:catAx>
      <c:valAx>
        <c:axId val="1023689679"/>
        <c:scaling>
          <c:orientation val="minMax"/>
        </c:scaling>
        <c:delete val="1"/>
        <c:axPos val="l"/>
        <c:numFmt formatCode="_-[$$-409]* #,##0_ ;_-[$$-409]* \-#,##0\ ;_-[$$-409]* &quot;-&quot;??_ ;_-@_ " sourceLinked="1"/>
        <c:majorTickMark val="none"/>
        <c:minorTickMark val="none"/>
        <c:tickLblPos val="nextTo"/>
        <c:crossAx val="102369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Pivot!$D$177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Pivot!$C$178:$C$183</c:f>
              <c:strCache>
                <c:ptCount val="6"/>
                <c:pt idx="0">
                  <c:v>Sales</c:v>
                </c:pt>
                <c:pt idx="1">
                  <c:v>Operations</c:v>
                </c:pt>
                <c:pt idx="2">
                  <c:v>HR</c:v>
                </c:pt>
                <c:pt idx="3">
                  <c:v>IT</c:v>
                </c:pt>
                <c:pt idx="4">
                  <c:v>Finance</c:v>
                </c:pt>
                <c:pt idx="5">
                  <c:v>Marketing</c:v>
                </c:pt>
              </c:strCache>
            </c:strRef>
          </c:cat>
          <c:val>
            <c:numRef>
              <c:f>Pivot!$D$178:$D$183</c:f>
              <c:numCache>
                <c:formatCode>_-[$$-409]* #,##0_ ;_-[$$-409]* \-#,##0\ ;_-[$$-409]* "-"??_ ;_-@_ </c:formatCode>
                <c:ptCount val="6"/>
                <c:pt idx="0">
                  <c:v>60179.857142857145</c:v>
                </c:pt>
                <c:pt idx="1">
                  <c:v>55999</c:v>
                </c:pt>
                <c:pt idx="2">
                  <c:v>55214.6</c:v>
                </c:pt>
                <c:pt idx="3">
                  <c:v>54838</c:v>
                </c:pt>
                <c:pt idx="4">
                  <c:v>54013.5</c:v>
                </c:pt>
                <c:pt idx="5">
                  <c:v>47345.555555555555</c:v>
                </c:pt>
              </c:numCache>
            </c:numRef>
          </c:val>
          <c:extLst>
            <c:ext xmlns:c16="http://schemas.microsoft.com/office/drawing/2014/chart" uri="{C3380CC4-5D6E-409C-BE32-E72D297353CC}">
              <c16:uniqueId val="{00000000-B973-4ACB-86F0-CFF2E8C55709}"/>
            </c:ext>
          </c:extLst>
        </c:ser>
        <c:dLbls>
          <c:dLblPos val="outEnd"/>
          <c:showLegendKey val="0"/>
          <c:showVal val="1"/>
          <c:showCatName val="0"/>
          <c:showSerName val="0"/>
          <c:showPercent val="0"/>
          <c:showBubbleSize val="0"/>
        </c:dLbls>
        <c:gapWidth val="44"/>
        <c:axId val="692806319"/>
        <c:axId val="692807567"/>
      </c:barChart>
      <c:catAx>
        <c:axId val="6928063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92807567"/>
        <c:crosses val="autoZero"/>
        <c:auto val="1"/>
        <c:lblAlgn val="ctr"/>
        <c:lblOffset val="100"/>
        <c:noMultiLvlLbl val="0"/>
      </c:catAx>
      <c:valAx>
        <c:axId val="692807567"/>
        <c:scaling>
          <c:orientation val="minMax"/>
        </c:scaling>
        <c:delete val="1"/>
        <c:axPos val="t"/>
        <c:numFmt formatCode="_-[$$-409]* #,##0_ ;_-[$$-409]* \-#,##0\ ;_-[$$-409]* &quot;-&quot;??_ ;_-@_ " sourceLinked="1"/>
        <c:majorTickMark val="none"/>
        <c:minorTickMark val="none"/>
        <c:tickLblPos val="nextTo"/>
        <c:crossAx val="69280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[hr_dataset_300_unique_names.xlsx]Pivot!PivotTable10</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bg1">
              <a:lumMod val="95000"/>
            </a:schemeClr>
          </a:solidFill>
          <a:ln w="19050">
            <a:solidFill>
              <a:schemeClr val="lt1"/>
            </a:solidFill>
          </a:ln>
          <a:effectLst/>
        </c:spPr>
      </c:pivotFmt>
    </c:pivotFmts>
    <c:plotArea>
      <c:layout/>
      <c:doughnutChart>
        <c:varyColors val="1"/>
        <c:ser>
          <c:idx val="0"/>
          <c:order val="0"/>
          <c:tx>
            <c:strRef>
              <c:f>Pivot!$H$36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9-4BF2-97BE-73010A22522D}"/>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07B9-4BF2-97BE-73010A22522D}"/>
              </c:ext>
            </c:extLst>
          </c:dPt>
          <c:cat>
            <c:strRef>
              <c:f>Pivot!$G$37:$G$39</c:f>
              <c:strCache>
                <c:ptCount val="2"/>
                <c:pt idx="0">
                  <c:v>No</c:v>
                </c:pt>
                <c:pt idx="1">
                  <c:v>Yes</c:v>
                </c:pt>
              </c:strCache>
            </c:strRef>
          </c:cat>
          <c:val>
            <c:numRef>
              <c:f>Pivot!$H$37:$H$39</c:f>
              <c:numCache>
                <c:formatCode>0%</c:formatCode>
                <c:ptCount val="2"/>
                <c:pt idx="0">
                  <c:v>0.53666666666666663</c:v>
                </c:pt>
                <c:pt idx="1">
                  <c:v>0.46333333333333332</c:v>
                </c:pt>
              </c:numCache>
            </c:numRef>
          </c:val>
          <c:extLst>
            <c:ext xmlns:c16="http://schemas.microsoft.com/office/drawing/2014/chart" uri="{C3380CC4-5D6E-409C-BE32-E72D297353CC}">
              <c16:uniqueId val="{00000004-07B9-4BF2-97BE-73010A22522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[hr_dataset_300_unique_names.xlsx]Pivot!PivotTable10</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bg1">
              <a:lumMod val="9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95000"/>
            </a:schemeClr>
          </a:solidFill>
          <a:ln w="19050">
            <a:solidFill>
              <a:schemeClr val="lt1"/>
            </a:solidFill>
          </a:ln>
          <a:effectLst/>
        </c:spPr>
      </c:pivotFmt>
      <c:pivotFmt>
        <c:idx val="8"/>
        <c:spPr>
          <a:solidFill>
            <a:srgbClr val="FF0000"/>
          </a:solidFill>
          <a:ln w="19050">
            <a:solidFill>
              <a:schemeClr val="lt1"/>
            </a:solidFill>
          </a:ln>
          <a:effectLst/>
        </c:spPr>
      </c:pivotFmt>
    </c:pivotFmts>
    <c:plotArea>
      <c:layout/>
      <c:doughnutChart>
        <c:varyColors val="1"/>
        <c:ser>
          <c:idx val="0"/>
          <c:order val="0"/>
          <c:tx>
            <c:strRef>
              <c:f>Pivot!$H$36</c:f>
              <c:strCache>
                <c:ptCount val="1"/>
                <c:pt idx="0">
                  <c:v>Total</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DCB5-4FA4-B2AC-E7C7B7B930A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CB5-4FA4-B2AC-E7C7B7B930A4}"/>
              </c:ext>
            </c:extLst>
          </c:dPt>
          <c:cat>
            <c:strRef>
              <c:f>Pivot!$G$37:$G$39</c:f>
              <c:strCache>
                <c:ptCount val="2"/>
                <c:pt idx="0">
                  <c:v>No</c:v>
                </c:pt>
                <c:pt idx="1">
                  <c:v>Yes</c:v>
                </c:pt>
              </c:strCache>
            </c:strRef>
          </c:cat>
          <c:val>
            <c:numRef>
              <c:f>Pivot!$H$37:$H$39</c:f>
              <c:numCache>
                <c:formatCode>0%</c:formatCode>
                <c:ptCount val="2"/>
                <c:pt idx="0">
                  <c:v>0.53666666666666663</c:v>
                </c:pt>
                <c:pt idx="1">
                  <c:v>0.46333333333333332</c:v>
                </c:pt>
              </c:numCache>
            </c:numRef>
          </c:val>
          <c:extLst>
            <c:ext xmlns:c16="http://schemas.microsoft.com/office/drawing/2014/chart" uri="{C3380CC4-5D6E-409C-BE32-E72D297353CC}">
              <c16:uniqueId val="{00000004-DCB5-4FA4-B2AC-E7C7B7B930A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Pivot!$D$22:$D$31</c:f>
              <c:strCache>
                <c:ptCount val="10"/>
                <c:pt idx="0">
                  <c:v>Steven Jackson</c:v>
                </c:pt>
                <c:pt idx="1">
                  <c:v>Barbara Garcia</c:v>
                </c:pt>
                <c:pt idx="2">
                  <c:v>Michael Taylor</c:v>
                </c:pt>
                <c:pt idx="3">
                  <c:v>Susan White</c:v>
                </c:pt>
                <c:pt idx="4">
                  <c:v>Mary Thomas</c:v>
                </c:pt>
                <c:pt idx="5">
                  <c:v>Barbara Johnson</c:v>
                </c:pt>
                <c:pt idx="6">
                  <c:v>James Martin</c:v>
                </c:pt>
                <c:pt idx="7">
                  <c:v>Mary Jackson</c:v>
                </c:pt>
                <c:pt idx="8">
                  <c:v>Barbara Hall</c:v>
                </c:pt>
                <c:pt idx="9">
                  <c:v>Mark Johnson</c:v>
                </c:pt>
              </c:strCache>
            </c:strRef>
          </c:cat>
          <c:val>
            <c:numRef>
              <c:f>Pivot!$E$22:$E$31</c:f>
              <c:numCache>
                <c:formatCode>_-[$$-409]* #,##0_ ;_-[$$-409]* \-#,##0\ ;_-[$$-409]* "-"??_ ;_-@_ </c:formatCode>
                <c:ptCount val="10"/>
                <c:pt idx="0">
                  <c:v>94712</c:v>
                </c:pt>
                <c:pt idx="1">
                  <c:v>94451</c:v>
                </c:pt>
                <c:pt idx="2">
                  <c:v>94245</c:v>
                </c:pt>
                <c:pt idx="3">
                  <c:v>93736</c:v>
                </c:pt>
                <c:pt idx="4">
                  <c:v>93619</c:v>
                </c:pt>
                <c:pt idx="5">
                  <c:v>92892</c:v>
                </c:pt>
                <c:pt idx="6">
                  <c:v>92437</c:v>
                </c:pt>
                <c:pt idx="7">
                  <c:v>92190</c:v>
                </c:pt>
                <c:pt idx="8">
                  <c:v>92155</c:v>
                </c:pt>
                <c:pt idx="9">
                  <c:v>91688</c:v>
                </c:pt>
              </c:numCache>
            </c:numRef>
          </c:val>
          <c:extLst>
            <c:ext xmlns:c16="http://schemas.microsoft.com/office/drawing/2014/chart" uri="{C3380CC4-5D6E-409C-BE32-E72D297353CC}">
              <c16:uniqueId val="{00000000-FD12-44D4-A863-E387CD916585}"/>
            </c:ext>
          </c:extLst>
        </c:ser>
        <c:dLbls>
          <c:showLegendKey val="0"/>
          <c:showVal val="0"/>
          <c:showCatName val="0"/>
          <c:showSerName val="0"/>
          <c:showPercent val="0"/>
          <c:showBubbleSize val="0"/>
        </c:dLbls>
        <c:gapWidth val="75"/>
        <c:overlap val="28"/>
        <c:axId val="1085302816"/>
        <c:axId val="1085304896"/>
      </c:barChart>
      <c:catAx>
        <c:axId val="1085302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tr-TR"/>
          </a:p>
        </c:txPr>
        <c:crossAx val="1085304896"/>
        <c:crosses val="autoZero"/>
        <c:auto val="1"/>
        <c:lblAlgn val="ctr"/>
        <c:lblOffset val="100"/>
        <c:noMultiLvlLbl val="0"/>
      </c:catAx>
      <c:valAx>
        <c:axId val="1085304896"/>
        <c:scaling>
          <c:orientation val="minMax"/>
        </c:scaling>
        <c:delete val="1"/>
        <c:axPos val="t"/>
        <c:numFmt formatCode="_-[$$-409]* #,##0_ ;_-[$$-409]* \-#,##0\ ;_-[$$-409]* &quot;-&quot;??_ ;_-@_ " sourceLinked="1"/>
        <c:majorTickMark val="none"/>
        <c:minorTickMark val="none"/>
        <c:tickLblPos val="nextTo"/>
        <c:crossAx val="108530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tr-TR"/>
              <a:t>The Employee count by</a:t>
            </a:r>
            <a:r>
              <a:rPr lang="tr-TR" baseline="0"/>
              <a:t> </a:t>
            </a:r>
            <a:r>
              <a:rPr lang="tr-TR"/>
              <a:t>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tr-TR"/>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r-T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Pivot!$E$35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A1D-4887-A44B-61B294C1F86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A1D-4887-A44B-61B294C1F86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A1D-4887-A44B-61B294C1F86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EA1D-4887-A44B-61B294C1F86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EA1D-4887-A44B-61B294C1F86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EA1D-4887-A44B-61B294C1F8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r-TR"/>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Pivot!$D$36:$D$42</c:f>
              <c:strCache>
                <c:ptCount val="6"/>
                <c:pt idx="0">
                  <c:v>Finance</c:v>
                </c:pt>
                <c:pt idx="1">
                  <c:v>HR</c:v>
                </c:pt>
                <c:pt idx="2">
                  <c:v>IT</c:v>
                </c:pt>
                <c:pt idx="3">
                  <c:v>Marketing</c:v>
                </c:pt>
                <c:pt idx="4">
                  <c:v>Operations</c:v>
                </c:pt>
                <c:pt idx="5">
                  <c:v>Sales</c:v>
                </c:pt>
              </c:strCache>
            </c:strRef>
          </c:cat>
          <c:val>
            <c:numRef>
              <c:f>Pivot!$E$36:$E$42</c:f>
              <c:numCache>
                <c:formatCode>General</c:formatCode>
                <c:ptCount val="6"/>
                <c:pt idx="0">
                  <c:v>36</c:v>
                </c:pt>
                <c:pt idx="1">
                  <c:v>35</c:v>
                </c:pt>
                <c:pt idx="2">
                  <c:v>25</c:v>
                </c:pt>
                <c:pt idx="3">
                  <c:v>23</c:v>
                </c:pt>
                <c:pt idx="4">
                  <c:v>19</c:v>
                </c:pt>
                <c:pt idx="5">
                  <c:v>23</c:v>
                </c:pt>
              </c:numCache>
            </c:numRef>
          </c:val>
          <c:extLst>
            <c:ext xmlns:c16="http://schemas.microsoft.com/office/drawing/2014/chart" uri="{C3380CC4-5D6E-409C-BE32-E72D297353CC}">
              <c16:uniqueId val="{0000000C-EA1D-4887-A44B-61B294C1F8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Pivot!$H$14:$H$15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Pivot!$G$16:$G$20</c:f>
              <c:strCache>
                <c:ptCount val="4"/>
                <c:pt idx="0">
                  <c:v>20-30</c:v>
                </c:pt>
                <c:pt idx="1">
                  <c:v>31-40</c:v>
                </c:pt>
                <c:pt idx="2">
                  <c:v>41-50</c:v>
                </c:pt>
                <c:pt idx="3">
                  <c:v>51-60</c:v>
                </c:pt>
              </c:strCache>
            </c:strRef>
          </c:cat>
          <c:val>
            <c:numRef>
              <c:f>Pivot!$H$16:$H$20</c:f>
              <c:numCache>
                <c:formatCode>General</c:formatCode>
                <c:ptCount val="4"/>
                <c:pt idx="0">
                  <c:v>18</c:v>
                </c:pt>
                <c:pt idx="1">
                  <c:v>19</c:v>
                </c:pt>
                <c:pt idx="2">
                  <c:v>26</c:v>
                </c:pt>
                <c:pt idx="3">
                  <c:v>11</c:v>
                </c:pt>
              </c:numCache>
            </c:numRef>
          </c:val>
          <c:extLst>
            <c:ext xmlns:c16="http://schemas.microsoft.com/office/drawing/2014/chart" uri="{C3380CC4-5D6E-409C-BE32-E72D297353CC}">
              <c16:uniqueId val="{00000000-F6E7-4E8A-A271-D4207528E269}"/>
            </c:ext>
          </c:extLst>
        </c:ser>
        <c:ser>
          <c:idx val="1"/>
          <c:order val="1"/>
          <c:tx>
            <c:strRef>
              <c:f>Pivot!$I$14:$I$15</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Pivot!$G$16:$G$20</c:f>
              <c:strCache>
                <c:ptCount val="4"/>
                <c:pt idx="0">
                  <c:v>20-30</c:v>
                </c:pt>
                <c:pt idx="1">
                  <c:v>31-40</c:v>
                </c:pt>
                <c:pt idx="2">
                  <c:v>41-50</c:v>
                </c:pt>
                <c:pt idx="3">
                  <c:v>51-60</c:v>
                </c:pt>
              </c:strCache>
            </c:strRef>
          </c:cat>
          <c:val>
            <c:numRef>
              <c:f>Pivot!$I$16:$I$20</c:f>
              <c:numCache>
                <c:formatCode>General</c:formatCode>
                <c:ptCount val="4"/>
                <c:pt idx="0">
                  <c:v>16</c:v>
                </c:pt>
                <c:pt idx="1">
                  <c:v>19</c:v>
                </c:pt>
                <c:pt idx="2">
                  <c:v>16</c:v>
                </c:pt>
                <c:pt idx="3">
                  <c:v>14</c:v>
                </c:pt>
              </c:numCache>
            </c:numRef>
          </c:val>
          <c:extLst>
            <c:ext xmlns:c16="http://schemas.microsoft.com/office/drawing/2014/chart" uri="{C3380CC4-5D6E-409C-BE32-E72D297353CC}">
              <c16:uniqueId val="{00000001-F6E7-4E8A-A271-D4207528E269}"/>
            </c:ext>
          </c:extLst>
        </c:ser>
        <c:dLbls>
          <c:dLblPos val="outEnd"/>
          <c:showLegendKey val="0"/>
          <c:showVal val="1"/>
          <c:showCatName val="0"/>
          <c:showSerName val="0"/>
          <c:showPercent val="0"/>
          <c:showBubbleSize val="0"/>
        </c:dLbls>
        <c:gapWidth val="219"/>
        <c:overlap val="-27"/>
        <c:axId val="1179826320"/>
        <c:axId val="1179830480"/>
      </c:barChart>
      <c:catAx>
        <c:axId val="117982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79830480"/>
        <c:crosses val="autoZero"/>
        <c:auto val="1"/>
        <c:lblAlgn val="ctr"/>
        <c:lblOffset val="100"/>
        <c:noMultiLvlLbl val="0"/>
      </c:catAx>
      <c:valAx>
        <c:axId val="1179830480"/>
        <c:scaling>
          <c:orientation val="minMax"/>
        </c:scaling>
        <c:delete val="1"/>
        <c:axPos val="l"/>
        <c:numFmt formatCode="General" sourceLinked="1"/>
        <c:majorTickMark val="none"/>
        <c:minorTickMark val="none"/>
        <c:tickLblPos val="nextTo"/>
        <c:crossAx val="117982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[hr_dataset_300_unique_names.xlsx]Pivot!PivotTable7</c:name>
    <c:fmtId val="6"/>
  </c:pivotSource>
  <c:chart>
    <c:autoTitleDeleted val="0"/>
    <c:pivotFmts>
      <c:pivotFmt>
        <c:idx val="0"/>
        <c:spPr>
          <a:solidFill>
            <a:schemeClr val="accent1"/>
          </a:solidFill>
          <a:ln w="381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85015737914229E-2"/>
          <c:y val="5.0925925925925923E-2"/>
          <c:w val="0.76477183798316661"/>
          <c:h val="0.8416746864975212"/>
        </c:manualLayout>
      </c:layout>
      <c:lineChart>
        <c:grouping val="standard"/>
        <c:varyColors val="0"/>
        <c:ser>
          <c:idx val="0"/>
          <c:order val="0"/>
          <c:tx>
            <c:strRef>
              <c:f>Pivot!$H$3:$H$4</c:f>
              <c:strCache>
                <c:ptCount val="1"/>
                <c:pt idx="0">
                  <c:v>Female</c:v>
                </c:pt>
              </c:strCache>
            </c:strRef>
          </c:tx>
          <c:spPr>
            <a:ln w="3810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Pivot!$G$5:$G$11</c:f>
              <c:strCache>
                <c:ptCount val="6"/>
                <c:pt idx="0">
                  <c:v>Finance</c:v>
                </c:pt>
                <c:pt idx="1">
                  <c:v>HR</c:v>
                </c:pt>
                <c:pt idx="2">
                  <c:v>IT</c:v>
                </c:pt>
                <c:pt idx="3">
                  <c:v>Marketing</c:v>
                </c:pt>
                <c:pt idx="4">
                  <c:v>Operations</c:v>
                </c:pt>
                <c:pt idx="5">
                  <c:v>Sales</c:v>
                </c:pt>
              </c:strCache>
            </c:strRef>
          </c:cat>
          <c:val>
            <c:numRef>
              <c:f>Pivot!$H$5:$H$11</c:f>
              <c:numCache>
                <c:formatCode>General</c:formatCode>
                <c:ptCount val="6"/>
                <c:pt idx="0">
                  <c:v>12</c:v>
                </c:pt>
                <c:pt idx="1">
                  <c:v>13</c:v>
                </c:pt>
                <c:pt idx="2">
                  <c:v>12</c:v>
                </c:pt>
                <c:pt idx="3">
                  <c:v>12</c:v>
                </c:pt>
                <c:pt idx="4">
                  <c:v>11</c:v>
                </c:pt>
                <c:pt idx="5">
                  <c:v>14</c:v>
                </c:pt>
              </c:numCache>
            </c:numRef>
          </c:val>
          <c:smooth val="0"/>
          <c:extLst>
            <c:ext xmlns:c16="http://schemas.microsoft.com/office/drawing/2014/chart" uri="{C3380CC4-5D6E-409C-BE32-E72D297353CC}">
              <c16:uniqueId val="{00000000-9DCC-4E24-B332-E23968F197BC}"/>
            </c:ext>
          </c:extLst>
        </c:ser>
        <c:ser>
          <c:idx val="1"/>
          <c:order val="1"/>
          <c:tx>
            <c:strRef>
              <c:f>Pivot!$I$3:$I$4</c:f>
              <c:strCache>
                <c:ptCount val="1"/>
                <c:pt idx="0">
                  <c:v>Male</c:v>
                </c:pt>
              </c:strCache>
            </c:strRef>
          </c:tx>
          <c:spPr>
            <a:ln w="3810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Pivot!$G$5:$G$11</c:f>
              <c:strCache>
                <c:ptCount val="6"/>
                <c:pt idx="0">
                  <c:v>Finance</c:v>
                </c:pt>
                <c:pt idx="1">
                  <c:v>HR</c:v>
                </c:pt>
                <c:pt idx="2">
                  <c:v>IT</c:v>
                </c:pt>
                <c:pt idx="3">
                  <c:v>Marketing</c:v>
                </c:pt>
                <c:pt idx="4">
                  <c:v>Operations</c:v>
                </c:pt>
                <c:pt idx="5">
                  <c:v>Sales</c:v>
                </c:pt>
              </c:strCache>
            </c:strRef>
          </c:cat>
          <c:val>
            <c:numRef>
              <c:f>Pivot!$I$5:$I$11</c:f>
              <c:numCache>
                <c:formatCode>General</c:formatCode>
                <c:ptCount val="6"/>
                <c:pt idx="0">
                  <c:v>12</c:v>
                </c:pt>
                <c:pt idx="1">
                  <c:v>10</c:v>
                </c:pt>
                <c:pt idx="2">
                  <c:v>11</c:v>
                </c:pt>
                <c:pt idx="3">
                  <c:v>12</c:v>
                </c:pt>
                <c:pt idx="4">
                  <c:v>7</c:v>
                </c:pt>
                <c:pt idx="5">
                  <c:v>13</c:v>
                </c:pt>
              </c:numCache>
            </c:numRef>
          </c:val>
          <c:smooth val="0"/>
          <c:extLst>
            <c:ext xmlns:c16="http://schemas.microsoft.com/office/drawing/2014/chart" uri="{C3380CC4-5D6E-409C-BE32-E72D297353CC}">
              <c16:uniqueId val="{00000001-9DCC-4E24-B332-E23968F197BC}"/>
            </c:ext>
          </c:extLst>
        </c:ser>
        <c:dLbls>
          <c:dLblPos val="t"/>
          <c:showLegendKey val="0"/>
          <c:showVal val="1"/>
          <c:showCatName val="0"/>
          <c:showSerName val="0"/>
          <c:showPercent val="0"/>
          <c:showBubbleSize val="0"/>
        </c:dLbls>
        <c:marker val="1"/>
        <c:smooth val="0"/>
        <c:axId val="1362050608"/>
        <c:axId val="1362060176"/>
      </c:lineChart>
      <c:catAx>
        <c:axId val="13620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2060176"/>
        <c:crosses val="autoZero"/>
        <c:auto val="1"/>
        <c:lblAlgn val="ctr"/>
        <c:lblOffset val="100"/>
        <c:noMultiLvlLbl val="0"/>
      </c:catAx>
      <c:valAx>
        <c:axId val="1362060176"/>
        <c:scaling>
          <c:orientation val="minMax"/>
        </c:scaling>
        <c:delete val="1"/>
        <c:axPos val="l"/>
        <c:numFmt formatCode="General" sourceLinked="1"/>
        <c:majorTickMark val="none"/>
        <c:minorTickMark val="none"/>
        <c:tickLblPos val="nextTo"/>
        <c:crossAx val="1362050608"/>
        <c:crosses val="autoZero"/>
        <c:crossBetween val="between"/>
      </c:valAx>
      <c:spPr>
        <a:noFill/>
        <a:ln>
          <a:noFill/>
        </a:ln>
        <a:effectLst/>
      </c:spPr>
    </c:plotArea>
    <c:legend>
      <c:legendPos val="r"/>
      <c:layout>
        <c:manualLayout>
          <c:xMode val="edge"/>
          <c:yMode val="edge"/>
          <c:x val="0.82985440626792983"/>
          <c:y val="0.15694646370121793"/>
          <c:w val="0.16158984268421531"/>
          <c:h val="0.324530644344512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dLbls>
          <c:showLegendKey val="0"/>
          <c:showVal val="0"/>
          <c:showCatName val="0"/>
          <c:showSerName val="0"/>
          <c:showPercent val="0"/>
          <c:showBubbleSize val="0"/>
        </c:dLbls>
        <c:gapWidth val="182"/>
        <c:axId val="1362076816"/>
        <c:axId val="1362081808"/>
      </c:barChart>
      <c:catAx>
        <c:axId val="136207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2081808"/>
        <c:crosses val="autoZero"/>
        <c:auto val="1"/>
        <c:lblAlgn val="ctr"/>
        <c:lblOffset val="100"/>
        <c:noMultiLvlLbl val="0"/>
      </c:catAx>
      <c:valAx>
        <c:axId val="1362081808"/>
        <c:scaling>
          <c:orientation val="minMax"/>
        </c:scaling>
        <c:delete val="1"/>
        <c:axPos val="b"/>
        <c:numFmt formatCode="0%" sourceLinked="1"/>
        <c:majorTickMark val="none"/>
        <c:minorTickMark val="none"/>
        <c:tickLblPos val="nextTo"/>
        <c:crossAx val="13620768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b="1">
                <a:solidFill>
                  <a:srgbClr val="002060"/>
                </a:solidFill>
              </a:rPr>
              <a:t>Average</a:t>
            </a:r>
            <a:r>
              <a:rPr lang="tr-TR" b="1" baseline="0">
                <a:solidFill>
                  <a:srgbClr val="002060"/>
                </a:solidFill>
              </a:rPr>
              <a:t> Performance Score by department</a:t>
            </a:r>
            <a:endParaRPr lang="tr-TR"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bar"/>
        <c:grouping val="clustered"/>
        <c:varyColors val="0"/>
        <c:ser>
          <c:idx val="0"/>
          <c:order val="0"/>
          <c:tx>
            <c:strRef>
              <c:f>Pivot!$N$117</c:f>
              <c:strCache>
                <c:ptCount val="1"/>
                <c:pt idx="0">
                  <c:v>PerformanceScore</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Pivot!$M$118:$M$123</c:f>
              <c:strCache>
                <c:ptCount val="6"/>
                <c:pt idx="0">
                  <c:v>Sales</c:v>
                </c:pt>
                <c:pt idx="1">
                  <c:v>Operations</c:v>
                </c:pt>
                <c:pt idx="2">
                  <c:v>Marketing</c:v>
                </c:pt>
                <c:pt idx="3">
                  <c:v>IT</c:v>
                </c:pt>
                <c:pt idx="4">
                  <c:v>Finance</c:v>
                </c:pt>
                <c:pt idx="5">
                  <c:v>HR</c:v>
                </c:pt>
              </c:strCache>
            </c:strRef>
          </c:cat>
          <c:val>
            <c:numRef>
              <c:f>Pivot!$N$118:$N$123</c:f>
              <c:numCache>
                <c:formatCode>0.00</c:formatCode>
                <c:ptCount val="6"/>
                <c:pt idx="0">
                  <c:v>3.4347826086956523</c:v>
                </c:pt>
                <c:pt idx="1">
                  <c:v>3.4210526315789473</c:v>
                </c:pt>
                <c:pt idx="2">
                  <c:v>3.0434782608695654</c:v>
                </c:pt>
                <c:pt idx="3">
                  <c:v>2.92</c:v>
                </c:pt>
                <c:pt idx="4">
                  <c:v>2.8611111111111112</c:v>
                </c:pt>
                <c:pt idx="5">
                  <c:v>2.6857142857142855</c:v>
                </c:pt>
              </c:numCache>
            </c:numRef>
          </c:val>
          <c:extLst>
            <c:ext xmlns:c16="http://schemas.microsoft.com/office/drawing/2014/chart" uri="{C3380CC4-5D6E-409C-BE32-E72D297353CC}">
              <c16:uniqueId val="{00000000-0A1B-4F29-8ED8-18F581EB6697}"/>
            </c:ext>
          </c:extLst>
        </c:ser>
        <c:dLbls>
          <c:showLegendKey val="0"/>
          <c:showVal val="0"/>
          <c:showCatName val="0"/>
          <c:showSerName val="0"/>
          <c:showPercent val="0"/>
          <c:showBubbleSize val="0"/>
        </c:dLbls>
        <c:gapWidth val="30"/>
        <c:axId val="852401519"/>
        <c:axId val="852401935"/>
      </c:barChart>
      <c:lineChart>
        <c:grouping val="standard"/>
        <c:varyColors val="0"/>
        <c:ser>
          <c:idx val="1"/>
          <c:order val="1"/>
          <c:tx>
            <c:strRef>
              <c:f>Pivot!$O$117</c:f>
              <c:strCache>
                <c:ptCount val="1"/>
                <c:pt idx="0">
                  <c:v>AverageScore</c:v>
                </c:pt>
              </c:strCache>
            </c:strRef>
          </c:tx>
          <c:spPr>
            <a:ln w="28575" cap="rnd">
              <a:solidFill>
                <a:schemeClr val="accent2"/>
              </a:solidFill>
              <a:round/>
            </a:ln>
            <a:effectLst/>
          </c:spPr>
          <c:marker>
            <c:symbol val="none"/>
          </c:marker>
          <c:cat>
            <c:strRef>
              <c:f>Pivot!$M$118:$M$123</c:f>
              <c:strCache>
                <c:ptCount val="6"/>
                <c:pt idx="0">
                  <c:v>Sales</c:v>
                </c:pt>
                <c:pt idx="1">
                  <c:v>Operations</c:v>
                </c:pt>
                <c:pt idx="2">
                  <c:v>Marketing</c:v>
                </c:pt>
                <c:pt idx="3">
                  <c:v>IT</c:v>
                </c:pt>
                <c:pt idx="4">
                  <c:v>Finance</c:v>
                </c:pt>
                <c:pt idx="5">
                  <c:v>HR</c:v>
                </c:pt>
              </c:strCache>
            </c:strRef>
          </c:cat>
          <c:val>
            <c:numRef>
              <c:f>Pivot!$O$118:$O$123</c:f>
              <c:numCache>
                <c:formatCode>0.00</c:formatCode>
                <c:ptCount val="6"/>
                <c:pt idx="0">
                  <c:v>3.0062111801242235</c:v>
                </c:pt>
                <c:pt idx="1">
                  <c:v>3.0062111801242235</c:v>
                </c:pt>
                <c:pt idx="2">
                  <c:v>3.0062111801242235</c:v>
                </c:pt>
                <c:pt idx="3">
                  <c:v>3.0062111801242235</c:v>
                </c:pt>
                <c:pt idx="4">
                  <c:v>3.0062111801242235</c:v>
                </c:pt>
                <c:pt idx="5">
                  <c:v>3.0062111801242235</c:v>
                </c:pt>
              </c:numCache>
            </c:numRef>
          </c:val>
          <c:smooth val="0"/>
          <c:extLst>
            <c:ext xmlns:c16="http://schemas.microsoft.com/office/drawing/2014/chart" uri="{C3380CC4-5D6E-409C-BE32-E72D297353CC}">
              <c16:uniqueId val="{00000001-0A1B-4F29-8ED8-18F581EB6697}"/>
            </c:ext>
          </c:extLst>
        </c:ser>
        <c:dLbls>
          <c:showLegendKey val="0"/>
          <c:showVal val="0"/>
          <c:showCatName val="0"/>
          <c:showSerName val="0"/>
          <c:showPercent val="0"/>
          <c:showBubbleSize val="0"/>
        </c:dLbls>
        <c:marker val="1"/>
        <c:smooth val="0"/>
        <c:axId val="690972927"/>
        <c:axId val="690971679"/>
      </c:lineChart>
      <c:catAx>
        <c:axId val="85240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tr-TR"/>
          </a:p>
        </c:txPr>
        <c:crossAx val="852401935"/>
        <c:crosses val="autoZero"/>
        <c:auto val="1"/>
        <c:lblAlgn val="ctr"/>
        <c:lblOffset val="100"/>
        <c:noMultiLvlLbl val="0"/>
      </c:catAx>
      <c:valAx>
        <c:axId val="852401935"/>
        <c:scaling>
          <c:orientation val="minMax"/>
        </c:scaling>
        <c:delete val="1"/>
        <c:axPos val="b"/>
        <c:numFmt formatCode="0.00" sourceLinked="1"/>
        <c:majorTickMark val="none"/>
        <c:minorTickMark val="none"/>
        <c:tickLblPos val="nextTo"/>
        <c:crossAx val="852401519"/>
        <c:crosses val="autoZero"/>
        <c:crossBetween val="between"/>
      </c:valAx>
      <c:valAx>
        <c:axId val="6909716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90972927"/>
        <c:crosses val="max"/>
        <c:crossBetween val="between"/>
      </c:valAx>
      <c:catAx>
        <c:axId val="690972927"/>
        <c:scaling>
          <c:orientation val="minMax"/>
        </c:scaling>
        <c:delete val="1"/>
        <c:axPos val="b"/>
        <c:numFmt formatCode="General" sourceLinked="1"/>
        <c:majorTickMark val="out"/>
        <c:minorTickMark val="none"/>
        <c:tickLblPos val="nextTo"/>
        <c:crossAx val="6909716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b="1">
                <a:solidFill>
                  <a:srgbClr val="002060"/>
                </a:solidFill>
              </a:rPr>
              <a:t>Average</a:t>
            </a:r>
            <a:r>
              <a:rPr lang="tr-TR" b="1" baseline="0">
                <a:solidFill>
                  <a:srgbClr val="002060"/>
                </a:solidFill>
              </a:rPr>
              <a:t> salary by department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Pivot!$H$142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Pivot!$G$143:$G$148</c:f>
              <c:strCache>
                <c:ptCount val="6"/>
                <c:pt idx="0">
                  <c:v>Marketing</c:v>
                </c:pt>
                <c:pt idx="1">
                  <c:v>HR</c:v>
                </c:pt>
                <c:pt idx="2">
                  <c:v>IT</c:v>
                </c:pt>
                <c:pt idx="3">
                  <c:v>Operations</c:v>
                </c:pt>
                <c:pt idx="4">
                  <c:v>Finance</c:v>
                </c:pt>
                <c:pt idx="5">
                  <c:v>Sales</c:v>
                </c:pt>
              </c:strCache>
            </c:strRef>
          </c:cat>
          <c:val>
            <c:numRef>
              <c:f>Pivot!$H$143:$H$148</c:f>
              <c:numCache>
                <c:formatCode>_-[$$-409]* #,##0_ ;_-[$$-409]* \-#,##0\ ;_-[$$-409]* "-"??_ ;_-@_ </c:formatCode>
                <c:ptCount val="6"/>
                <c:pt idx="0">
                  <c:v>65047.478260869568</c:v>
                </c:pt>
                <c:pt idx="1">
                  <c:v>63932.542857142857</c:v>
                </c:pt>
                <c:pt idx="2">
                  <c:v>57488.4</c:v>
                </c:pt>
                <c:pt idx="3">
                  <c:v>56427.210526315786</c:v>
                </c:pt>
                <c:pt idx="4">
                  <c:v>56154.805555555555</c:v>
                </c:pt>
                <c:pt idx="5">
                  <c:v>55064.608695652176</c:v>
                </c:pt>
              </c:numCache>
            </c:numRef>
          </c:val>
          <c:extLst>
            <c:ext xmlns:c16="http://schemas.microsoft.com/office/drawing/2014/chart" uri="{C3380CC4-5D6E-409C-BE32-E72D297353CC}">
              <c16:uniqueId val="{00000000-3C45-4B96-B421-6836105BC80B}"/>
            </c:ext>
          </c:extLst>
        </c:ser>
        <c:dLbls>
          <c:dLblPos val="inEnd"/>
          <c:showLegendKey val="0"/>
          <c:showVal val="1"/>
          <c:showCatName val="0"/>
          <c:showSerName val="0"/>
          <c:showPercent val="0"/>
          <c:showBubbleSize val="0"/>
        </c:dLbls>
        <c:gapWidth val="182"/>
        <c:axId val="629220831"/>
        <c:axId val="629210015"/>
      </c:barChart>
      <c:catAx>
        <c:axId val="6292208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tr-TR"/>
          </a:p>
        </c:txPr>
        <c:crossAx val="629210015"/>
        <c:crosses val="autoZero"/>
        <c:auto val="1"/>
        <c:lblAlgn val="ctr"/>
        <c:lblOffset val="100"/>
        <c:noMultiLvlLbl val="0"/>
      </c:catAx>
      <c:valAx>
        <c:axId val="629210015"/>
        <c:scaling>
          <c:orientation val="minMax"/>
        </c:scaling>
        <c:delete val="1"/>
        <c:axPos val="t"/>
        <c:numFmt formatCode="_-[$$-409]* #,##0_ ;_-[$$-409]* \-#,##0\ ;_-[$$-409]* &quot;-&quot;??_ ;_-@_ " sourceLinked="1"/>
        <c:majorTickMark val="none"/>
        <c:minorTickMark val="none"/>
        <c:tickLblPos val="nextTo"/>
        <c:crossAx val="629220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[hr_dataset_300_unique_names.xlsx]Pivot!PivotTable23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612822464712025E-2"/>
              <c:y val="1.1525930318037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30403209244575E-2"/>
              <c:y val="1.9209883863395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07362888320117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34435301690327E-2"/>
              <c:y val="1.9209883863395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128224647120291E-2"/>
              <c:y val="1.152593031803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1.612822464712025E-2"/>
              <c:y val="3.84197677267900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38241925546745E-2"/>
              <c:y val="-3.521771357819173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61282246471203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6.9120962773372074E-3"/>
              <c:y val="-3.521771357819173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07362888320117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534435301690327E-2"/>
              <c:y val="1.9209883863395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6128224647120291E-2"/>
              <c:y val="1.1525930318036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61282246471203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30403209244575E-2"/>
              <c:y val="1.9209883863395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6.9120962773372074E-3"/>
              <c:y val="-3.521771357819173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1.612822464712025E-2"/>
              <c:y val="3.84197677267900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1.38241925546745E-2"/>
              <c:y val="-3.521771357819173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1.612822464712025E-2"/>
              <c:y val="1.1525930318037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073628883201175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2.534435301690327E-2"/>
              <c:y val="1.92098838633950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1.6128224647120291E-2"/>
              <c:y val="1.15259303180369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1.612822464712033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2.30403209244575E-2"/>
              <c:y val="1.92098838633950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6.9120962773372074E-3"/>
              <c:y val="-3.521771357819173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layout>
            <c:manualLayout>
              <c:x val="1.612822464712025E-2"/>
              <c:y val="3.841976772679007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1.38241925546745E-2"/>
              <c:y val="-3.521771357819173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1.612822464712025E-2"/>
              <c:y val="1.15259303180370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Pivot!$I$157:$I$158</c:f>
              <c:strCache>
                <c:ptCount val="1"/>
                <c:pt idx="0">
                  <c:v>Female</c:v>
                </c:pt>
              </c:strCache>
            </c:strRef>
          </c:tx>
          <c:spPr>
            <a:solidFill>
              <a:schemeClr val="accent1"/>
            </a:solidFill>
            <a:ln>
              <a:noFill/>
            </a:ln>
            <a:effectLst/>
          </c:spPr>
          <c:invertIfNegative val="0"/>
          <c:dLbls>
            <c:dLbl>
              <c:idx val="0"/>
              <c:layout>
                <c:manualLayout>
                  <c:x val="-2.073628883201175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571-4B52-8AB7-86F4D38C4EF5}"/>
                </c:ext>
              </c:extLst>
            </c:dLbl>
            <c:dLbl>
              <c:idx val="1"/>
              <c:layout>
                <c:manualLayout>
                  <c:x val="-2.534435301690327E-2"/>
                  <c:y val="1.92098838633950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71-4B52-8AB7-86F4D38C4EF5}"/>
                </c:ext>
              </c:extLst>
            </c:dLbl>
            <c:dLbl>
              <c:idx val="2"/>
              <c:layout>
                <c:manualLayout>
                  <c:x val="-1.6128224647120291E-2"/>
                  <c:y val="1.15259303180369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71-4B52-8AB7-86F4D38C4EF5}"/>
                </c:ext>
              </c:extLst>
            </c:dLbl>
            <c:dLbl>
              <c:idx val="4"/>
              <c:layout>
                <c:manualLayout>
                  <c:x val="-1.612822464712033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71-4B52-8AB7-86F4D38C4E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Pivot!$H$159:$H$163</c:f>
              <c:strCache>
                <c:ptCount val="5"/>
                <c:pt idx="0">
                  <c:v>Analyst</c:v>
                </c:pt>
                <c:pt idx="1">
                  <c:v>Assistant</c:v>
                </c:pt>
                <c:pt idx="2">
                  <c:v>Engineer</c:v>
                </c:pt>
                <c:pt idx="3">
                  <c:v>Manager</c:v>
                </c:pt>
                <c:pt idx="4">
                  <c:v>Specialist</c:v>
                </c:pt>
              </c:strCache>
            </c:strRef>
          </c:cat>
          <c:val>
            <c:numRef>
              <c:f>Pivot!$I$159:$I$163</c:f>
              <c:numCache>
                <c:formatCode>_-[$$-409]* #,##0_ ;_-[$$-409]* \-#,##0\ ;_-[$$-409]* "-"??_ ;_-@_ </c:formatCode>
                <c:ptCount val="5"/>
                <c:pt idx="0">
                  <c:v>61247.5</c:v>
                </c:pt>
                <c:pt idx="1">
                  <c:v>55054.75</c:v>
                </c:pt>
                <c:pt idx="2">
                  <c:v>60813.461538461539</c:v>
                </c:pt>
                <c:pt idx="3">
                  <c:v>66674.8</c:v>
                </c:pt>
                <c:pt idx="4">
                  <c:v>59068.769230769234</c:v>
                </c:pt>
              </c:numCache>
            </c:numRef>
          </c:val>
          <c:extLst>
            <c:ext xmlns:c16="http://schemas.microsoft.com/office/drawing/2014/chart" uri="{C3380CC4-5D6E-409C-BE32-E72D297353CC}">
              <c16:uniqueId val="{00000004-3571-4B52-8AB7-86F4D38C4EF5}"/>
            </c:ext>
          </c:extLst>
        </c:ser>
        <c:ser>
          <c:idx val="1"/>
          <c:order val="1"/>
          <c:tx>
            <c:strRef>
              <c:f>Pivot!$J$157:$J$158</c:f>
              <c:strCache>
                <c:ptCount val="1"/>
                <c:pt idx="0">
                  <c:v>Male</c:v>
                </c:pt>
              </c:strCache>
            </c:strRef>
          </c:tx>
          <c:spPr>
            <a:solidFill>
              <a:schemeClr val="accent2"/>
            </a:solidFill>
            <a:ln>
              <a:noFill/>
            </a:ln>
            <a:effectLst/>
          </c:spPr>
          <c:invertIfNegative val="0"/>
          <c:dLbls>
            <c:dLbl>
              <c:idx val="0"/>
              <c:layout>
                <c:manualLayout>
                  <c:x val="2.30403209244575E-2"/>
                  <c:y val="1.92098838633950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71-4B52-8AB7-86F4D38C4EF5}"/>
                </c:ext>
              </c:extLst>
            </c:dLbl>
            <c:dLbl>
              <c:idx val="1"/>
              <c:layout>
                <c:manualLayout>
                  <c:x val="6.9120962773372074E-3"/>
                  <c:y val="-3.521771357819173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571-4B52-8AB7-86F4D38C4EF5}"/>
                </c:ext>
              </c:extLst>
            </c:dLbl>
            <c:dLbl>
              <c:idx val="2"/>
              <c:layout>
                <c:manualLayout>
                  <c:x val="1.612822464712025E-2"/>
                  <c:y val="3.84197677267900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71-4B52-8AB7-86F4D38C4EF5}"/>
                </c:ext>
              </c:extLst>
            </c:dLbl>
            <c:dLbl>
              <c:idx val="3"/>
              <c:layout>
                <c:manualLayout>
                  <c:x val="1.38241925546745E-2"/>
                  <c:y val="-3.521771357819173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571-4B52-8AB7-86F4D38C4EF5}"/>
                </c:ext>
              </c:extLst>
            </c:dLbl>
            <c:dLbl>
              <c:idx val="4"/>
              <c:layout>
                <c:manualLayout>
                  <c:x val="1.612822464712025E-2"/>
                  <c:y val="1.15259303180370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571-4B52-8AB7-86F4D38C4E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Pivot!$H$159:$H$163</c:f>
              <c:strCache>
                <c:ptCount val="5"/>
                <c:pt idx="0">
                  <c:v>Analyst</c:v>
                </c:pt>
                <c:pt idx="1">
                  <c:v>Assistant</c:v>
                </c:pt>
                <c:pt idx="2">
                  <c:v>Engineer</c:v>
                </c:pt>
                <c:pt idx="3">
                  <c:v>Manager</c:v>
                </c:pt>
                <c:pt idx="4">
                  <c:v>Specialist</c:v>
                </c:pt>
              </c:strCache>
            </c:strRef>
          </c:cat>
          <c:val>
            <c:numRef>
              <c:f>Pivot!$J$159:$J$163</c:f>
              <c:numCache>
                <c:formatCode>_-[$$-409]* #,##0_ ;_-[$$-409]* \-#,##0\ ;_-[$$-409]* "-"??_ ;_-@_ </c:formatCode>
                <c:ptCount val="5"/>
                <c:pt idx="0">
                  <c:v>61575.588235294119</c:v>
                </c:pt>
                <c:pt idx="1">
                  <c:v>50061.555555555555</c:v>
                </c:pt>
                <c:pt idx="2">
                  <c:v>59867.833333333336</c:v>
                </c:pt>
                <c:pt idx="3">
                  <c:v>58745.448275862072</c:v>
                </c:pt>
                <c:pt idx="4">
                  <c:v>57593.5</c:v>
                </c:pt>
              </c:numCache>
            </c:numRef>
          </c:val>
          <c:extLst>
            <c:ext xmlns:c16="http://schemas.microsoft.com/office/drawing/2014/chart" uri="{C3380CC4-5D6E-409C-BE32-E72D297353CC}">
              <c16:uniqueId val="{0000000A-3571-4B52-8AB7-86F4D38C4EF5}"/>
            </c:ext>
          </c:extLst>
        </c:ser>
        <c:dLbls>
          <c:dLblPos val="outEnd"/>
          <c:showLegendKey val="0"/>
          <c:showVal val="1"/>
          <c:showCatName val="0"/>
          <c:showSerName val="0"/>
          <c:showPercent val="0"/>
          <c:showBubbleSize val="0"/>
        </c:dLbls>
        <c:gapWidth val="219"/>
        <c:overlap val="-27"/>
        <c:axId val="1023691759"/>
        <c:axId val="1023689679"/>
      </c:barChart>
      <c:catAx>
        <c:axId val="102369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23689679"/>
        <c:crosses val="autoZero"/>
        <c:auto val="1"/>
        <c:lblAlgn val="ctr"/>
        <c:lblOffset val="100"/>
        <c:noMultiLvlLbl val="0"/>
      </c:catAx>
      <c:valAx>
        <c:axId val="1023689679"/>
        <c:scaling>
          <c:orientation val="minMax"/>
        </c:scaling>
        <c:delete val="1"/>
        <c:axPos val="l"/>
        <c:numFmt formatCode="_-[$$-409]* #,##0_ ;_-[$$-409]* \-#,##0\ ;_-[$$-409]* &quot;-&quot;??_ ;_-@_ " sourceLinked="1"/>
        <c:majorTickMark val="none"/>
        <c:minorTickMark val="none"/>
        <c:tickLblPos val="nextTo"/>
        <c:crossAx val="102369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[hr_dataset_300_unique_names.xlsx]Pivot!PivotTable24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Pivot!$D$177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Pivot!$C$178:$C$183</c:f>
              <c:strCache>
                <c:ptCount val="6"/>
                <c:pt idx="0">
                  <c:v>Sales</c:v>
                </c:pt>
                <c:pt idx="1">
                  <c:v>Operations</c:v>
                </c:pt>
                <c:pt idx="2">
                  <c:v>HR</c:v>
                </c:pt>
                <c:pt idx="3">
                  <c:v>IT</c:v>
                </c:pt>
                <c:pt idx="4">
                  <c:v>Finance</c:v>
                </c:pt>
                <c:pt idx="5">
                  <c:v>Marketing</c:v>
                </c:pt>
              </c:strCache>
            </c:strRef>
          </c:cat>
          <c:val>
            <c:numRef>
              <c:f>Pivot!$D$178:$D$183</c:f>
              <c:numCache>
                <c:formatCode>_-[$$-409]* #,##0_ ;_-[$$-409]* \-#,##0\ ;_-[$$-409]* "-"??_ ;_-@_ </c:formatCode>
                <c:ptCount val="6"/>
                <c:pt idx="0">
                  <c:v>60179.857142857145</c:v>
                </c:pt>
                <c:pt idx="1">
                  <c:v>55999</c:v>
                </c:pt>
                <c:pt idx="2">
                  <c:v>55214.6</c:v>
                </c:pt>
                <c:pt idx="3">
                  <c:v>54838</c:v>
                </c:pt>
                <c:pt idx="4">
                  <c:v>54013.5</c:v>
                </c:pt>
                <c:pt idx="5">
                  <c:v>47345.555555555555</c:v>
                </c:pt>
              </c:numCache>
            </c:numRef>
          </c:val>
          <c:extLst>
            <c:ext xmlns:c16="http://schemas.microsoft.com/office/drawing/2014/chart" uri="{C3380CC4-5D6E-409C-BE32-E72D297353CC}">
              <c16:uniqueId val="{00000000-5D07-4326-9CB9-C02846690808}"/>
            </c:ext>
          </c:extLst>
        </c:ser>
        <c:dLbls>
          <c:dLblPos val="outEnd"/>
          <c:showLegendKey val="0"/>
          <c:showVal val="1"/>
          <c:showCatName val="0"/>
          <c:showSerName val="0"/>
          <c:showPercent val="0"/>
          <c:showBubbleSize val="0"/>
        </c:dLbls>
        <c:gapWidth val="44"/>
        <c:axId val="692806319"/>
        <c:axId val="692807567"/>
      </c:barChart>
      <c:catAx>
        <c:axId val="6928063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tr-TR"/>
          </a:p>
        </c:txPr>
        <c:crossAx val="692807567"/>
        <c:crosses val="autoZero"/>
        <c:auto val="1"/>
        <c:lblAlgn val="ctr"/>
        <c:lblOffset val="100"/>
        <c:noMultiLvlLbl val="0"/>
      </c:catAx>
      <c:valAx>
        <c:axId val="692807567"/>
        <c:scaling>
          <c:orientation val="minMax"/>
        </c:scaling>
        <c:delete val="1"/>
        <c:axPos val="t"/>
        <c:numFmt formatCode="_-[$$-409]* #,##0_ ;_-[$$-409]* \-#,##0\ ;_-[$$-409]* &quot;-&quot;??_ ;_-@_ " sourceLinked="1"/>
        <c:majorTickMark val="none"/>
        <c:minorTickMark val="none"/>
        <c:tickLblPos val="nextTo"/>
        <c:crossAx val="69280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8.xml"/><Relationship Id="rId3" Type="http://schemas.openxmlformats.org/officeDocument/2006/relationships/image" Target="../media/image2.png"/><Relationship Id="rId7" Type="http://schemas.openxmlformats.org/officeDocument/2006/relationships/chart" Target="../charts/chart13.xml"/><Relationship Id="rId12" Type="http://schemas.openxmlformats.org/officeDocument/2006/relationships/chart" Target="../charts/chart17.xml"/><Relationship Id="rId17" Type="http://schemas.openxmlformats.org/officeDocument/2006/relationships/chart" Target="../charts/chart22.xml"/><Relationship Id="rId2" Type="http://schemas.microsoft.com/office/2007/relationships/hdphoto" Target="../media/hdphoto1.wdp"/><Relationship Id="rId16" Type="http://schemas.openxmlformats.org/officeDocument/2006/relationships/chart" Target="../charts/chart21.xml"/><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image" Target="../media/image4.png"/><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image" Target="../media/image3.png"/><Relationship Id="rId9" Type="http://schemas.openxmlformats.org/officeDocument/2006/relationships/image" Target="../media/image5.png"/><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1000125</xdr:colOff>
      <xdr:row>6</xdr:row>
      <xdr:rowOff>33337</xdr:rowOff>
    </xdr:from>
    <xdr:to>
      <xdr:col>5</xdr:col>
      <xdr:colOff>809625</xdr:colOff>
      <xdr:row>20</xdr:row>
      <xdr:rowOff>109537</xdr:rowOff>
    </xdr:to>
    <xdr:graphicFrame macro="">
      <xdr:nvGraphicFramePr>
        <xdr:cNvPr id="2" name="Chart 1">
          <a:extLst>
            <a:ext uri="{FF2B5EF4-FFF2-40B4-BE49-F238E27FC236}">
              <a16:creationId xmlns:a16="http://schemas.microsoft.com/office/drawing/2014/main" id="{6C70E4FC-3CF9-4DF5-A1CB-FB779CD13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8</xdr:row>
      <xdr:rowOff>133350</xdr:rowOff>
    </xdr:from>
    <xdr:to>
      <xdr:col>16</xdr:col>
      <xdr:colOff>219075</xdr:colOff>
      <xdr:row>23</xdr:row>
      <xdr:rowOff>19050</xdr:rowOff>
    </xdr:to>
    <xdr:graphicFrame macro="">
      <xdr:nvGraphicFramePr>
        <xdr:cNvPr id="3" name="Chart 2">
          <a:extLst>
            <a:ext uri="{FF2B5EF4-FFF2-40B4-BE49-F238E27FC236}">
              <a16:creationId xmlns:a16="http://schemas.microsoft.com/office/drawing/2014/main" id="{DC2AC755-A751-4D6F-8777-052FF383F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204787</xdr:colOff>
      <xdr:row>25</xdr:row>
      <xdr:rowOff>171450</xdr:rowOff>
    </xdr:from>
    <xdr:to>
      <xdr:col>16</xdr:col>
      <xdr:colOff>366712</xdr:colOff>
      <xdr:row>40</xdr:row>
      <xdr:rowOff>57150</xdr:rowOff>
    </xdr:to>
    <xdr:graphicFrame macro="">
      <xdr:nvGraphicFramePr>
        <xdr:cNvPr id="5" name="Chart 4">
          <a:extLst>
            <a:ext uri="{FF2B5EF4-FFF2-40B4-BE49-F238E27FC236}">
              <a16:creationId xmlns:a16="http://schemas.microsoft.com/office/drawing/2014/main" id="{D2709EFE-0E8D-4C49-839B-1C5B68EA6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176212</xdr:colOff>
      <xdr:row>14</xdr:row>
      <xdr:rowOff>57150</xdr:rowOff>
    </xdr:from>
    <xdr:to>
      <xdr:col>7</xdr:col>
      <xdr:colOff>1300162</xdr:colOff>
      <xdr:row>28</xdr:row>
      <xdr:rowOff>133350</xdr:rowOff>
    </xdr:to>
    <xdr:graphicFrame macro="">
      <xdr:nvGraphicFramePr>
        <xdr:cNvPr id="9" name="Chart 8">
          <a:extLst>
            <a:ext uri="{FF2B5EF4-FFF2-40B4-BE49-F238E27FC236}">
              <a16:creationId xmlns:a16="http://schemas.microsoft.com/office/drawing/2014/main" id="{134627C5-642B-4A1F-87BE-3A54D41A5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91108</xdr:colOff>
      <xdr:row>44</xdr:row>
      <xdr:rowOff>81997</xdr:rowOff>
    </xdr:from>
    <xdr:to>
      <xdr:col>12</xdr:col>
      <xdr:colOff>546651</xdr:colOff>
      <xdr:row>58</xdr:row>
      <xdr:rowOff>158197</xdr:rowOff>
    </xdr:to>
    <xdr:graphicFrame macro="">
      <xdr:nvGraphicFramePr>
        <xdr:cNvPr id="10" name="Chart 9">
          <a:extLst>
            <a:ext uri="{FF2B5EF4-FFF2-40B4-BE49-F238E27FC236}">
              <a16:creationId xmlns:a16="http://schemas.microsoft.com/office/drawing/2014/main" id="{7DF924FE-FAD7-48DC-91A6-3027E5CAB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421999</xdr:colOff>
      <xdr:row>45</xdr:row>
      <xdr:rowOff>38100</xdr:rowOff>
    </xdr:from>
    <xdr:to>
      <xdr:col>6</xdr:col>
      <xdr:colOff>619125</xdr:colOff>
      <xdr:row>58</xdr:row>
      <xdr:rowOff>85725</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6ED24FD1-5447-401D-A1E6-66D5A705C5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59282" y="8610600"/>
              <a:ext cx="1828800" cy="25241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318880</xdr:colOff>
      <xdr:row>65</xdr:row>
      <xdr:rowOff>7453</xdr:rowOff>
    </xdr:from>
    <xdr:to>
      <xdr:col>13</xdr:col>
      <xdr:colOff>434837</xdr:colOff>
      <xdr:row>79</xdr:row>
      <xdr:rowOff>83653</xdr:rowOff>
    </xdr:to>
    <xdr:graphicFrame macro="">
      <xdr:nvGraphicFramePr>
        <xdr:cNvPr id="13" name="Chart 12">
          <a:extLst>
            <a:ext uri="{FF2B5EF4-FFF2-40B4-BE49-F238E27FC236}">
              <a16:creationId xmlns:a16="http://schemas.microsoft.com/office/drawing/2014/main" id="{7049DAB8-048B-4039-AA64-0EF1C17E2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82826</xdr:colOff>
      <xdr:row>95</xdr:row>
      <xdr:rowOff>81997</xdr:rowOff>
    </xdr:from>
    <xdr:to>
      <xdr:col>12</xdr:col>
      <xdr:colOff>463826</xdr:colOff>
      <xdr:row>109</xdr:row>
      <xdr:rowOff>158197</xdr:rowOff>
    </xdr:to>
    <xdr:graphicFrame macro="">
      <xdr:nvGraphicFramePr>
        <xdr:cNvPr id="4" name="Chart 3">
          <a:extLst>
            <a:ext uri="{FF2B5EF4-FFF2-40B4-BE49-F238E27FC236}">
              <a16:creationId xmlns:a16="http://schemas.microsoft.com/office/drawing/2014/main" id="{C11D51C3-C27A-42F7-B7DD-7374D7065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824119</xdr:colOff>
      <xdr:row>116</xdr:row>
      <xdr:rowOff>181388</xdr:rowOff>
    </xdr:from>
    <xdr:to>
      <xdr:col>15</xdr:col>
      <xdr:colOff>211206</xdr:colOff>
      <xdr:row>131</xdr:row>
      <xdr:rowOff>67088</xdr:rowOff>
    </xdr:to>
    <xdr:graphicFrame macro="">
      <xdr:nvGraphicFramePr>
        <xdr:cNvPr id="8" name="Chart 7">
          <a:extLst>
            <a:ext uri="{FF2B5EF4-FFF2-40B4-BE49-F238E27FC236}">
              <a16:creationId xmlns:a16="http://schemas.microsoft.com/office/drawing/2014/main" id="{D8E94554-E924-4E6D-993D-97CAD4838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749576</xdr:colOff>
      <xdr:row>137</xdr:row>
      <xdr:rowOff>189671</xdr:rowOff>
    </xdr:from>
    <xdr:to>
      <xdr:col>17</xdr:col>
      <xdr:colOff>381001</xdr:colOff>
      <xdr:row>152</xdr:row>
      <xdr:rowOff>75371</xdr:rowOff>
    </xdr:to>
    <xdr:graphicFrame macro="">
      <xdr:nvGraphicFramePr>
        <xdr:cNvPr id="14" name="Chart 13">
          <a:extLst>
            <a:ext uri="{FF2B5EF4-FFF2-40B4-BE49-F238E27FC236}">
              <a16:creationId xmlns:a16="http://schemas.microsoft.com/office/drawing/2014/main" id="{698EF881-B4B4-464E-BA98-3E116ED0B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302315</xdr:colOff>
      <xdr:row>152</xdr:row>
      <xdr:rowOff>81997</xdr:rowOff>
    </xdr:from>
    <xdr:to>
      <xdr:col>9</xdr:col>
      <xdr:colOff>546652</xdr:colOff>
      <xdr:row>169</xdr:row>
      <xdr:rowOff>149087</xdr:rowOff>
    </xdr:to>
    <xdr:graphicFrame macro="">
      <xdr:nvGraphicFramePr>
        <xdr:cNvPr id="15" name="Chart 14">
          <a:extLst>
            <a:ext uri="{FF2B5EF4-FFF2-40B4-BE49-F238E27FC236}">
              <a16:creationId xmlns:a16="http://schemas.microsoft.com/office/drawing/2014/main" id="{7D6DEFB4-66C6-4106-916E-5DBADE95F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434837</xdr:colOff>
      <xdr:row>182</xdr:row>
      <xdr:rowOff>48866</xdr:rowOff>
    </xdr:from>
    <xdr:to>
      <xdr:col>7</xdr:col>
      <xdr:colOff>144945</xdr:colOff>
      <xdr:row>196</xdr:row>
      <xdr:rowOff>125066</xdr:rowOff>
    </xdr:to>
    <xdr:graphicFrame macro="">
      <xdr:nvGraphicFramePr>
        <xdr:cNvPr id="16" name="Chart 15">
          <a:extLst>
            <a:ext uri="{FF2B5EF4-FFF2-40B4-BE49-F238E27FC236}">
              <a16:creationId xmlns:a16="http://schemas.microsoft.com/office/drawing/2014/main" id="{DFD9BC5C-F909-4A4E-890A-8CDAD5209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47624</xdr:colOff>
      <xdr:row>1</xdr:row>
      <xdr:rowOff>27452</xdr:rowOff>
    </xdr:from>
    <xdr:to>
      <xdr:col>24</xdr:col>
      <xdr:colOff>190499</xdr:colOff>
      <xdr:row>62</xdr:row>
      <xdr:rowOff>44823</xdr:rowOff>
    </xdr:to>
    <xdr:sp macro="" textlink="">
      <xdr:nvSpPr>
        <xdr:cNvPr id="2" name="Rectangle: Rounded Corners 1">
          <a:extLst>
            <a:ext uri="{FF2B5EF4-FFF2-40B4-BE49-F238E27FC236}">
              <a16:creationId xmlns:a16="http://schemas.microsoft.com/office/drawing/2014/main" id="{A1A46B2D-DB7B-4FBA-97BE-3CDDD14708FD}"/>
            </a:ext>
          </a:extLst>
        </xdr:cNvPr>
        <xdr:cNvSpPr/>
      </xdr:nvSpPr>
      <xdr:spPr>
        <a:xfrm>
          <a:off x="47624" y="217952"/>
          <a:ext cx="14838589" cy="11637871"/>
        </a:xfrm>
        <a:prstGeom prst="roundRect">
          <a:avLst>
            <a:gd name="adj" fmla="val 84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0</xdr:col>
      <xdr:colOff>66675</xdr:colOff>
      <xdr:row>0</xdr:row>
      <xdr:rowOff>133349</xdr:rowOff>
    </xdr:from>
    <xdr:to>
      <xdr:col>23</xdr:col>
      <xdr:colOff>552450</xdr:colOff>
      <xdr:row>11</xdr:row>
      <xdr:rowOff>104774</xdr:rowOff>
    </xdr:to>
    <xdr:sp macro="" textlink="">
      <xdr:nvSpPr>
        <xdr:cNvPr id="3" name="Rectangle: Rounded Corners 2">
          <a:extLst>
            <a:ext uri="{FF2B5EF4-FFF2-40B4-BE49-F238E27FC236}">
              <a16:creationId xmlns:a16="http://schemas.microsoft.com/office/drawing/2014/main" id="{8173E2D2-D740-4E68-9664-EF2EA5D3571A}"/>
            </a:ext>
          </a:extLst>
        </xdr:cNvPr>
        <xdr:cNvSpPr/>
      </xdr:nvSpPr>
      <xdr:spPr>
        <a:xfrm>
          <a:off x="66675" y="133349"/>
          <a:ext cx="14403481" cy="2066925"/>
        </a:xfrm>
        <a:prstGeom prst="roundRect">
          <a:avLst>
            <a:gd name="adj" fmla="val 3901"/>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5</xdr:col>
      <xdr:colOff>147637</xdr:colOff>
      <xdr:row>2</xdr:row>
      <xdr:rowOff>133350</xdr:rowOff>
    </xdr:from>
    <xdr:to>
      <xdr:col>18</xdr:col>
      <xdr:colOff>376237</xdr:colOff>
      <xdr:row>7</xdr:row>
      <xdr:rowOff>85725</xdr:rowOff>
    </xdr:to>
    <xdr:sp macro="" textlink="">
      <xdr:nvSpPr>
        <xdr:cNvPr id="4" name="TextBox 3">
          <a:extLst>
            <a:ext uri="{FF2B5EF4-FFF2-40B4-BE49-F238E27FC236}">
              <a16:creationId xmlns:a16="http://schemas.microsoft.com/office/drawing/2014/main" id="{CB1EEC0F-999E-4665-A61D-6B0F373814BF}"/>
            </a:ext>
          </a:extLst>
        </xdr:cNvPr>
        <xdr:cNvSpPr txBox="1"/>
      </xdr:nvSpPr>
      <xdr:spPr>
        <a:xfrm>
          <a:off x="3195637" y="514350"/>
          <a:ext cx="8153400"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4000" b="1">
              <a:solidFill>
                <a:schemeClr val="bg1"/>
              </a:solidFill>
              <a:latin typeface="Arial" panose="020B0604020202020204" pitchFamily="34" charset="0"/>
              <a:cs typeface="Arial" panose="020B0604020202020204" pitchFamily="34" charset="0"/>
            </a:rPr>
            <a:t>HR</a:t>
          </a:r>
          <a:r>
            <a:rPr lang="tr-TR" sz="4000" b="1" baseline="0">
              <a:solidFill>
                <a:schemeClr val="bg1"/>
              </a:solidFill>
              <a:latin typeface="Arial" panose="020B0604020202020204" pitchFamily="34" charset="0"/>
              <a:cs typeface="Arial" panose="020B0604020202020204" pitchFamily="34" charset="0"/>
            </a:rPr>
            <a:t> ANALYTICS DASHBOARD</a:t>
          </a:r>
          <a:endParaRPr lang="tr-TR" sz="40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0</xdr:col>
      <xdr:colOff>85725</xdr:colOff>
      <xdr:row>0</xdr:row>
      <xdr:rowOff>85724</xdr:rowOff>
    </xdr:from>
    <xdr:to>
      <xdr:col>2</xdr:col>
      <xdr:colOff>533400</xdr:colOff>
      <xdr:row>9</xdr:row>
      <xdr:rowOff>38099</xdr:rowOff>
    </xdr:to>
    <xdr:pic>
      <xdr:nvPicPr>
        <xdr:cNvPr id="5" name="Picture 4">
          <a:extLst>
            <a:ext uri="{FF2B5EF4-FFF2-40B4-BE49-F238E27FC236}">
              <a16:creationId xmlns:a16="http://schemas.microsoft.com/office/drawing/2014/main" id="{D2178FAE-5A4F-4A9E-AEEC-37CEE58799B5}"/>
            </a:ext>
          </a:extLst>
        </xdr:cNvPr>
        <xdr:cNvPicPr>
          <a:picLocks noChangeAspect="1"/>
        </xdr:cNvPicPr>
      </xdr:nvPicPr>
      <xdr:blipFill>
        <a:blip xmlns:r="http://schemas.openxmlformats.org/officeDocument/2006/relationships" r:embed="rId1">
          <a:lum bright="70000" contrast="-70000"/>
          <a:extLst>
            <a:ext uri="{BEBA8EAE-BF5A-486C-A8C5-ECC9F3942E4B}">
              <a14:imgProps xmlns:a14="http://schemas.microsoft.com/office/drawing/2010/main">
                <a14:imgLayer r:embed="rId2">
                  <a14:imgEffect>
                    <a14:artisticCrisscrossEtching/>
                  </a14:imgEffect>
                </a14:imgLayer>
              </a14:imgProps>
            </a:ext>
          </a:extLst>
        </a:blip>
        <a:stretch>
          <a:fillRect/>
        </a:stretch>
      </xdr:blipFill>
      <xdr:spPr>
        <a:xfrm>
          <a:off x="85725" y="85724"/>
          <a:ext cx="1666875" cy="1666875"/>
        </a:xfrm>
        <a:prstGeom prst="rect">
          <a:avLst/>
        </a:prstGeom>
      </xdr:spPr>
    </xdr:pic>
    <xdr:clientData/>
  </xdr:twoCellAnchor>
  <xdr:twoCellAnchor editAs="oneCell">
    <xdr:from>
      <xdr:col>20</xdr:col>
      <xdr:colOff>419100</xdr:colOff>
      <xdr:row>3</xdr:row>
      <xdr:rowOff>9524</xdr:rowOff>
    </xdr:from>
    <xdr:to>
      <xdr:col>21</xdr:col>
      <xdr:colOff>466725</xdr:colOff>
      <xdr:row>6</xdr:row>
      <xdr:rowOff>95249</xdr:rowOff>
    </xdr:to>
    <xdr:pic macro="[0]!Picture5_Click">
      <xdr:nvPicPr>
        <xdr:cNvPr id="6" name="Picture 5">
          <a:extLst>
            <a:ext uri="{FF2B5EF4-FFF2-40B4-BE49-F238E27FC236}">
              <a16:creationId xmlns:a16="http://schemas.microsoft.com/office/drawing/2014/main" id="{BACDDC79-88FA-4103-8FFA-FC656499F9C7}"/>
            </a:ext>
          </a:extLst>
        </xdr:cNvPr>
        <xdr:cNvPicPr>
          <a:picLocks noChangeAspect="1"/>
        </xdr:cNvPicPr>
      </xdr:nvPicPr>
      <xdr:blipFill>
        <a:blip xmlns:r="http://schemas.openxmlformats.org/officeDocument/2006/relationships" r:embed="rId3">
          <a:lum bright="70000" contrast="-70000"/>
        </a:blip>
        <a:stretch>
          <a:fillRect/>
        </a:stretch>
      </xdr:blipFill>
      <xdr:spPr>
        <a:xfrm>
          <a:off x="12611100" y="581024"/>
          <a:ext cx="657225" cy="657225"/>
        </a:xfrm>
        <a:prstGeom prst="rect">
          <a:avLst/>
        </a:prstGeom>
      </xdr:spPr>
    </xdr:pic>
    <xdr:clientData/>
  </xdr:twoCellAnchor>
  <xdr:twoCellAnchor editAs="oneCell">
    <xdr:from>
      <xdr:col>22</xdr:col>
      <xdr:colOff>142875</xdr:colOff>
      <xdr:row>3</xdr:row>
      <xdr:rowOff>66675</xdr:rowOff>
    </xdr:from>
    <xdr:to>
      <xdr:col>23</xdr:col>
      <xdr:colOff>123825</xdr:colOff>
      <xdr:row>6</xdr:row>
      <xdr:rowOff>85725</xdr:rowOff>
    </xdr:to>
    <xdr:pic macro="[0]!Picture6_Click">
      <xdr:nvPicPr>
        <xdr:cNvPr id="7" name="Picture 6">
          <a:extLst>
            <a:ext uri="{FF2B5EF4-FFF2-40B4-BE49-F238E27FC236}">
              <a16:creationId xmlns:a16="http://schemas.microsoft.com/office/drawing/2014/main" id="{B8477E12-0AE4-48F9-8B2F-CBE62EA3E585}"/>
            </a:ext>
          </a:extLst>
        </xdr:cNvPr>
        <xdr:cNvPicPr>
          <a:picLocks noChangeAspect="1"/>
        </xdr:cNvPicPr>
      </xdr:nvPicPr>
      <xdr:blipFill>
        <a:blip xmlns:r="http://schemas.openxmlformats.org/officeDocument/2006/relationships" r:embed="rId4">
          <a:lum bright="70000" contrast="-70000"/>
        </a:blip>
        <a:stretch>
          <a:fillRect/>
        </a:stretch>
      </xdr:blipFill>
      <xdr:spPr>
        <a:xfrm>
          <a:off x="13554075" y="638175"/>
          <a:ext cx="590550" cy="590550"/>
        </a:xfrm>
        <a:prstGeom prst="rect">
          <a:avLst/>
        </a:prstGeom>
      </xdr:spPr>
    </xdr:pic>
    <xdr:clientData/>
  </xdr:twoCellAnchor>
  <xdr:twoCellAnchor>
    <xdr:from>
      <xdr:col>0</xdr:col>
      <xdr:colOff>133350</xdr:colOff>
      <xdr:row>10</xdr:row>
      <xdr:rowOff>28575</xdr:rowOff>
    </xdr:from>
    <xdr:to>
      <xdr:col>5</xdr:col>
      <xdr:colOff>304800</xdr:colOff>
      <xdr:row>19</xdr:row>
      <xdr:rowOff>57150</xdr:rowOff>
    </xdr:to>
    <xdr:sp macro="" textlink="">
      <xdr:nvSpPr>
        <xdr:cNvPr id="8" name="Rectangle: Rounded Corners 7">
          <a:extLst>
            <a:ext uri="{FF2B5EF4-FFF2-40B4-BE49-F238E27FC236}">
              <a16:creationId xmlns:a16="http://schemas.microsoft.com/office/drawing/2014/main" id="{635902E8-FC5A-45EA-8880-31683945B37C}"/>
            </a:ext>
          </a:extLst>
        </xdr:cNvPr>
        <xdr:cNvSpPr/>
      </xdr:nvSpPr>
      <xdr:spPr>
        <a:xfrm>
          <a:off x="133350" y="1933575"/>
          <a:ext cx="3219450" cy="17430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xdr:col>
      <xdr:colOff>485775</xdr:colOff>
      <xdr:row>10</xdr:row>
      <xdr:rowOff>123825</xdr:rowOff>
    </xdr:from>
    <xdr:to>
      <xdr:col>4</xdr:col>
      <xdr:colOff>485775</xdr:colOff>
      <xdr:row>12</xdr:row>
      <xdr:rowOff>95250</xdr:rowOff>
    </xdr:to>
    <xdr:sp macro="" textlink="">
      <xdr:nvSpPr>
        <xdr:cNvPr id="9" name="TextBox 8">
          <a:extLst>
            <a:ext uri="{FF2B5EF4-FFF2-40B4-BE49-F238E27FC236}">
              <a16:creationId xmlns:a16="http://schemas.microsoft.com/office/drawing/2014/main" id="{8D62BCCB-F11C-4FFF-9E2C-585A70813835}"/>
            </a:ext>
          </a:extLst>
        </xdr:cNvPr>
        <xdr:cNvSpPr txBox="1"/>
      </xdr:nvSpPr>
      <xdr:spPr>
        <a:xfrm>
          <a:off x="1095375" y="2028825"/>
          <a:ext cx="18288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a:t>TOTAL EMPLOYEES</a:t>
          </a:r>
        </a:p>
      </xdr:txBody>
    </xdr:sp>
    <xdr:clientData/>
  </xdr:twoCellAnchor>
  <xdr:twoCellAnchor>
    <xdr:from>
      <xdr:col>2</xdr:col>
      <xdr:colOff>485774</xdr:colOff>
      <xdr:row>13</xdr:row>
      <xdr:rowOff>61912</xdr:rowOff>
    </xdr:from>
    <xdr:to>
      <xdr:col>4</xdr:col>
      <xdr:colOff>400049</xdr:colOff>
      <xdr:row>16</xdr:row>
      <xdr:rowOff>23812</xdr:rowOff>
    </xdr:to>
    <xdr:sp macro="" textlink="">
      <xdr:nvSpPr>
        <xdr:cNvPr id="10" name="TextBox 9">
          <a:extLst>
            <a:ext uri="{FF2B5EF4-FFF2-40B4-BE49-F238E27FC236}">
              <a16:creationId xmlns:a16="http://schemas.microsoft.com/office/drawing/2014/main" id="{F9EB310B-3651-4A22-AA01-EECC697CE9F4}"/>
            </a:ext>
          </a:extLst>
        </xdr:cNvPr>
        <xdr:cNvSpPr txBox="1"/>
      </xdr:nvSpPr>
      <xdr:spPr>
        <a:xfrm>
          <a:off x="1704974" y="2538412"/>
          <a:ext cx="1133475"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2400" b="1"/>
            <a:t>300</a:t>
          </a:r>
        </a:p>
      </xdr:txBody>
    </xdr:sp>
    <xdr:clientData/>
  </xdr:twoCellAnchor>
  <xdr:twoCellAnchor>
    <xdr:from>
      <xdr:col>5</xdr:col>
      <xdr:colOff>333375</xdr:colOff>
      <xdr:row>10</xdr:row>
      <xdr:rowOff>47625</xdr:rowOff>
    </xdr:from>
    <xdr:to>
      <xdr:col>10</xdr:col>
      <xdr:colOff>504825</xdr:colOff>
      <xdr:row>19</xdr:row>
      <xdr:rowOff>76200</xdr:rowOff>
    </xdr:to>
    <xdr:sp macro="" textlink="">
      <xdr:nvSpPr>
        <xdr:cNvPr id="12" name="Rectangle: Rounded Corners 11">
          <a:extLst>
            <a:ext uri="{FF2B5EF4-FFF2-40B4-BE49-F238E27FC236}">
              <a16:creationId xmlns:a16="http://schemas.microsoft.com/office/drawing/2014/main" id="{6972BFF2-6417-482F-8751-655BCD73B1BB}"/>
            </a:ext>
          </a:extLst>
        </xdr:cNvPr>
        <xdr:cNvSpPr/>
      </xdr:nvSpPr>
      <xdr:spPr>
        <a:xfrm>
          <a:off x="3381375" y="1952625"/>
          <a:ext cx="3219450" cy="17430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7</xdr:col>
      <xdr:colOff>57150</xdr:colOff>
      <xdr:row>10</xdr:row>
      <xdr:rowOff>142875</xdr:rowOff>
    </xdr:from>
    <xdr:to>
      <xdr:col>10</xdr:col>
      <xdr:colOff>333375</xdr:colOff>
      <xdr:row>12</xdr:row>
      <xdr:rowOff>114300</xdr:rowOff>
    </xdr:to>
    <xdr:sp macro="" textlink="">
      <xdr:nvSpPr>
        <xdr:cNvPr id="13" name="TextBox 12">
          <a:extLst>
            <a:ext uri="{FF2B5EF4-FFF2-40B4-BE49-F238E27FC236}">
              <a16:creationId xmlns:a16="http://schemas.microsoft.com/office/drawing/2014/main" id="{6CB4C30F-31E2-4995-BA99-5A1973512280}"/>
            </a:ext>
          </a:extLst>
        </xdr:cNvPr>
        <xdr:cNvSpPr txBox="1"/>
      </xdr:nvSpPr>
      <xdr:spPr>
        <a:xfrm>
          <a:off x="4324350" y="2047875"/>
          <a:ext cx="2105025"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a:t>ACTIVE EMPLOYEES</a:t>
          </a:r>
        </a:p>
      </xdr:txBody>
    </xdr:sp>
    <xdr:clientData/>
  </xdr:twoCellAnchor>
  <xdr:twoCellAnchor>
    <xdr:from>
      <xdr:col>8</xdr:col>
      <xdr:colOff>123824</xdr:colOff>
      <xdr:row>13</xdr:row>
      <xdr:rowOff>80962</xdr:rowOff>
    </xdr:from>
    <xdr:to>
      <xdr:col>10</xdr:col>
      <xdr:colOff>38099</xdr:colOff>
      <xdr:row>16</xdr:row>
      <xdr:rowOff>42862</xdr:rowOff>
    </xdr:to>
    <xdr:sp macro="" textlink="">
      <xdr:nvSpPr>
        <xdr:cNvPr id="14" name="TextBox 13">
          <a:extLst>
            <a:ext uri="{FF2B5EF4-FFF2-40B4-BE49-F238E27FC236}">
              <a16:creationId xmlns:a16="http://schemas.microsoft.com/office/drawing/2014/main" id="{5F72C725-2FF3-4449-B9A7-6DF1BA803178}"/>
            </a:ext>
          </a:extLst>
        </xdr:cNvPr>
        <xdr:cNvSpPr txBox="1"/>
      </xdr:nvSpPr>
      <xdr:spPr>
        <a:xfrm>
          <a:off x="5000624" y="2557462"/>
          <a:ext cx="1133475"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2400" b="1"/>
            <a:t>161</a:t>
          </a:r>
        </a:p>
      </xdr:txBody>
    </xdr:sp>
    <xdr:clientData/>
  </xdr:twoCellAnchor>
  <xdr:twoCellAnchor>
    <xdr:from>
      <xdr:col>9</xdr:col>
      <xdr:colOff>347381</xdr:colOff>
      <xdr:row>16</xdr:row>
      <xdr:rowOff>167248</xdr:rowOff>
    </xdr:from>
    <xdr:to>
      <xdr:col>10</xdr:col>
      <xdr:colOff>499782</xdr:colOff>
      <xdr:row>19</xdr:row>
      <xdr:rowOff>76761</xdr:rowOff>
    </xdr:to>
    <xdr:sp macro="" textlink="">
      <xdr:nvSpPr>
        <xdr:cNvPr id="15" name="TextBox 14">
          <a:extLst>
            <a:ext uri="{FF2B5EF4-FFF2-40B4-BE49-F238E27FC236}">
              <a16:creationId xmlns:a16="http://schemas.microsoft.com/office/drawing/2014/main" id="{FCD90354-B77F-464E-AE7A-9BDAC69E0FB7}"/>
            </a:ext>
          </a:extLst>
        </xdr:cNvPr>
        <xdr:cNvSpPr txBox="1"/>
      </xdr:nvSpPr>
      <xdr:spPr>
        <a:xfrm>
          <a:off x="5793440" y="3215248"/>
          <a:ext cx="757518" cy="481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2000" b="1">
              <a:solidFill>
                <a:schemeClr val="tx2">
                  <a:lumMod val="60000"/>
                  <a:lumOff val="40000"/>
                </a:schemeClr>
              </a:solidFill>
            </a:rPr>
            <a:t>%54</a:t>
          </a:r>
        </a:p>
      </xdr:txBody>
    </xdr:sp>
    <xdr:clientData/>
  </xdr:twoCellAnchor>
  <xdr:twoCellAnchor>
    <xdr:from>
      <xdr:col>10</xdr:col>
      <xdr:colOff>523875</xdr:colOff>
      <xdr:row>10</xdr:row>
      <xdr:rowOff>66675</xdr:rowOff>
    </xdr:from>
    <xdr:to>
      <xdr:col>16</xdr:col>
      <xdr:colOff>85725</xdr:colOff>
      <xdr:row>19</xdr:row>
      <xdr:rowOff>95250</xdr:rowOff>
    </xdr:to>
    <xdr:sp macro="" textlink="">
      <xdr:nvSpPr>
        <xdr:cNvPr id="16" name="Rectangle: Rounded Corners 15">
          <a:extLst>
            <a:ext uri="{FF2B5EF4-FFF2-40B4-BE49-F238E27FC236}">
              <a16:creationId xmlns:a16="http://schemas.microsoft.com/office/drawing/2014/main" id="{9C662923-B3CD-43B4-84BD-E86C3421AB23}"/>
            </a:ext>
          </a:extLst>
        </xdr:cNvPr>
        <xdr:cNvSpPr/>
      </xdr:nvSpPr>
      <xdr:spPr>
        <a:xfrm>
          <a:off x="6619875" y="1971675"/>
          <a:ext cx="3219450" cy="17430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12</xdr:col>
      <xdr:colOff>295275</xdr:colOff>
      <xdr:row>10</xdr:row>
      <xdr:rowOff>104775</xdr:rowOff>
    </xdr:from>
    <xdr:to>
      <xdr:col>16</xdr:col>
      <xdr:colOff>123265</xdr:colOff>
      <xdr:row>12</xdr:row>
      <xdr:rowOff>76200</xdr:rowOff>
    </xdr:to>
    <xdr:sp macro="" textlink="">
      <xdr:nvSpPr>
        <xdr:cNvPr id="17" name="TextBox 16">
          <a:extLst>
            <a:ext uri="{FF2B5EF4-FFF2-40B4-BE49-F238E27FC236}">
              <a16:creationId xmlns:a16="http://schemas.microsoft.com/office/drawing/2014/main" id="{8D59159C-BD06-48ED-AE22-893C4EE4EAE6}"/>
            </a:ext>
          </a:extLst>
        </xdr:cNvPr>
        <xdr:cNvSpPr txBox="1"/>
      </xdr:nvSpPr>
      <xdr:spPr>
        <a:xfrm>
          <a:off x="7556687" y="2009775"/>
          <a:ext cx="224846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a:t>SEPARATED EMPLOYEES</a:t>
          </a:r>
        </a:p>
      </xdr:txBody>
    </xdr:sp>
    <xdr:clientData/>
  </xdr:twoCellAnchor>
  <xdr:twoCellAnchor>
    <xdr:from>
      <xdr:col>13</xdr:col>
      <xdr:colOff>514349</xdr:colOff>
      <xdr:row>13</xdr:row>
      <xdr:rowOff>71437</xdr:rowOff>
    </xdr:from>
    <xdr:to>
      <xdr:col>15</xdr:col>
      <xdr:colOff>428624</xdr:colOff>
      <xdr:row>16</xdr:row>
      <xdr:rowOff>33337</xdr:rowOff>
    </xdr:to>
    <xdr:sp macro="" textlink="">
      <xdr:nvSpPr>
        <xdr:cNvPr id="18" name="TextBox 17">
          <a:extLst>
            <a:ext uri="{FF2B5EF4-FFF2-40B4-BE49-F238E27FC236}">
              <a16:creationId xmlns:a16="http://schemas.microsoft.com/office/drawing/2014/main" id="{E8880D50-6C08-49FB-9C66-C438CD2F2B90}"/>
            </a:ext>
          </a:extLst>
        </xdr:cNvPr>
        <xdr:cNvSpPr txBox="1"/>
      </xdr:nvSpPr>
      <xdr:spPr>
        <a:xfrm>
          <a:off x="8439149" y="2547937"/>
          <a:ext cx="1133475"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2400" b="1"/>
            <a:t>139</a:t>
          </a:r>
        </a:p>
      </xdr:txBody>
    </xdr:sp>
    <xdr:clientData/>
  </xdr:twoCellAnchor>
  <xdr:twoCellAnchor>
    <xdr:from>
      <xdr:col>13</xdr:col>
      <xdr:colOff>469527</xdr:colOff>
      <xdr:row>16</xdr:row>
      <xdr:rowOff>180135</xdr:rowOff>
    </xdr:from>
    <xdr:to>
      <xdr:col>15</xdr:col>
      <xdr:colOff>16810</xdr:colOff>
      <xdr:row>19</xdr:row>
      <xdr:rowOff>89648</xdr:rowOff>
    </xdr:to>
    <xdr:sp macro="" textlink="">
      <xdr:nvSpPr>
        <xdr:cNvPr id="19" name="TextBox 18">
          <a:extLst>
            <a:ext uri="{FF2B5EF4-FFF2-40B4-BE49-F238E27FC236}">
              <a16:creationId xmlns:a16="http://schemas.microsoft.com/office/drawing/2014/main" id="{C7A0476A-769E-4147-966C-79FD8BE37D3C}"/>
            </a:ext>
          </a:extLst>
        </xdr:cNvPr>
        <xdr:cNvSpPr txBox="1"/>
      </xdr:nvSpPr>
      <xdr:spPr>
        <a:xfrm>
          <a:off x="8336056" y="3228135"/>
          <a:ext cx="757519" cy="4810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2000" b="1">
              <a:solidFill>
                <a:srgbClr val="FF0000"/>
              </a:solidFill>
            </a:rPr>
            <a:t>%46</a:t>
          </a:r>
        </a:p>
      </xdr:txBody>
    </xdr:sp>
    <xdr:clientData/>
  </xdr:twoCellAnchor>
  <xdr:twoCellAnchor editAs="oneCell">
    <xdr:from>
      <xdr:col>0</xdr:col>
      <xdr:colOff>142875</xdr:colOff>
      <xdr:row>12</xdr:row>
      <xdr:rowOff>38100</xdr:rowOff>
    </xdr:from>
    <xdr:to>
      <xdr:col>2</xdr:col>
      <xdr:colOff>238125</xdr:colOff>
      <xdr:row>19</xdr:row>
      <xdr:rowOff>19050</xdr:rowOff>
    </xdr:to>
    <xdr:pic>
      <xdr:nvPicPr>
        <xdr:cNvPr id="20" name="Picture 19">
          <a:extLst>
            <a:ext uri="{FF2B5EF4-FFF2-40B4-BE49-F238E27FC236}">
              <a16:creationId xmlns:a16="http://schemas.microsoft.com/office/drawing/2014/main" id="{270AB458-87EA-4C25-ABB9-A9775D14EF59}"/>
            </a:ext>
          </a:extLst>
        </xdr:cNvPr>
        <xdr:cNvPicPr>
          <a:picLocks noChangeAspect="1"/>
        </xdr:cNvPicPr>
      </xdr:nvPicPr>
      <xdr:blipFill>
        <a:blip xmlns:r="http://schemas.openxmlformats.org/officeDocument/2006/relationships" r:embed="rId5"/>
        <a:stretch>
          <a:fillRect/>
        </a:stretch>
      </xdr:blipFill>
      <xdr:spPr>
        <a:xfrm>
          <a:off x="142875" y="2324100"/>
          <a:ext cx="1314450" cy="1314450"/>
        </a:xfrm>
        <a:prstGeom prst="rect">
          <a:avLst/>
        </a:prstGeom>
      </xdr:spPr>
    </xdr:pic>
    <xdr:clientData/>
  </xdr:twoCellAnchor>
  <xdr:twoCellAnchor>
    <xdr:from>
      <xdr:col>5</xdr:col>
      <xdr:colOff>276225</xdr:colOff>
      <xdr:row>10</xdr:row>
      <xdr:rowOff>123825</xdr:rowOff>
    </xdr:from>
    <xdr:to>
      <xdr:col>7</xdr:col>
      <xdr:colOff>381000</xdr:colOff>
      <xdr:row>18</xdr:row>
      <xdr:rowOff>28575</xdr:rowOff>
    </xdr:to>
    <xdr:graphicFrame macro="">
      <xdr:nvGraphicFramePr>
        <xdr:cNvPr id="21" name="Chart 20">
          <a:extLst>
            <a:ext uri="{FF2B5EF4-FFF2-40B4-BE49-F238E27FC236}">
              <a16:creationId xmlns:a16="http://schemas.microsoft.com/office/drawing/2014/main" id="{94FBEF30-EB82-4851-8E46-47B936CCB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476250</xdr:colOff>
      <xdr:row>10</xdr:row>
      <xdr:rowOff>104775</xdr:rowOff>
    </xdr:from>
    <xdr:to>
      <xdr:col>13</xdr:col>
      <xdr:colOff>0</xdr:colOff>
      <xdr:row>17</xdr:row>
      <xdr:rowOff>161924</xdr:rowOff>
    </xdr:to>
    <xdr:graphicFrame macro="">
      <xdr:nvGraphicFramePr>
        <xdr:cNvPr id="22" name="Chart 21">
          <a:extLst>
            <a:ext uri="{FF2B5EF4-FFF2-40B4-BE49-F238E27FC236}">
              <a16:creationId xmlns:a16="http://schemas.microsoft.com/office/drawing/2014/main" id="{B6B9EDB7-E9AE-47A2-8694-E6AF514A1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142874</xdr:colOff>
      <xdr:row>19</xdr:row>
      <xdr:rowOff>66675</xdr:rowOff>
    </xdr:from>
    <xdr:to>
      <xdr:col>7</xdr:col>
      <xdr:colOff>76200</xdr:colOff>
      <xdr:row>47</xdr:row>
      <xdr:rowOff>76200</xdr:rowOff>
    </xdr:to>
    <xdr:sp macro="" textlink="">
      <xdr:nvSpPr>
        <xdr:cNvPr id="23" name="Rectangle: Rounded Corners 22">
          <a:extLst>
            <a:ext uri="{FF2B5EF4-FFF2-40B4-BE49-F238E27FC236}">
              <a16:creationId xmlns:a16="http://schemas.microsoft.com/office/drawing/2014/main" id="{DC052378-9E7D-4D99-A9F2-5AE9D09F8403}"/>
            </a:ext>
          </a:extLst>
        </xdr:cNvPr>
        <xdr:cNvSpPr/>
      </xdr:nvSpPr>
      <xdr:spPr>
        <a:xfrm>
          <a:off x="142874" y="3686175"/>
          <a:ext cx="4200526" cy="53435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0</xdr:col>
      <xdr:colOff>28575</xdr:colOff>
      <xdr:row>21</xdr:row>
      <xdr:rowOff>142875</xdr:rowOff>
    </xdr:from>
    <xdr:to>
      <xdr:col>5</xdr:col>
      <xdr:colOff>238125</xdr:colOff>
      <xdr:row>47</xdr:row>
      <xdr:rowOff>38099</xdr:rowOff>
    </xdr:to>
    <xdr:graphicFrame macro="">
      <xdr:nvGraphicFramePr>
        <xdr:cNvPr id="24" name="Chart 23">
          <a:extLst>
            <a:ext uri="{FF2B5EF4-FFF2-40B4-BE49-F238E27FC236}">
              <a16:creationId xmlns:a16="http://schemas.microsoft.com/office/drawing/2014/main" id="{ABA7CDF0-7C14-4CA5-9BCD-1092AC32D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295275</xdr:colOff>
      <xdr:row>20</xdr:row>
      <xdr:rowOff>0</xdr:rowOff>
    </xdr:from>
    <xdr:to>
      <xdr:col>6</xdr:col>
      <xdr:colOff>419100</xdr:colOff>
      <xdr:row>23</xdr:row>
      <xdr:rowOff>104775</xdr:rowOff>
    </xdr:to>
    <xdr:sp macro="" textlink="">
      <xdr:nvSpPr>
        <xdr:cNvPr id="25" name="TextBox 24">
          <a:extLst>
            <a:ext uri="{FF2B5EF4-FFF2-40B4-BE49-F238E27FC236}">
              <a16:creationId xmlns:a16="http://schemas.microsoft.com/office/drawing/2014/main" id="{EB0EB7AB-61ED-4424-870B-4109B9AD7177}"/>
            </a:ext>
          </a:extLst>
        </xdr:cNvPr>
        <xdr:cNvSpPr txBox="1"/>
      </xdr:nvSpPr>
      <xdr:spPr>
        <a:xfrm>
          <a:off x="904875" y="3810000"/>
          <a:ext cx="317182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a:t>TOP 10 HIGHEST PAID</a:t>
          </a:r>
          <a:r>
            <a:rPr lang="tr-TR" sz="1600" b="1" baseline="0"/>
            <a:t> EMPLOYEES</a:t>
          </a:r>
          <a:endParaRPr lang="tr-TR" sz="1600" b="1"/>
        </a:p>
      </xdr:txBody>
    </xdr:sp>
    <xdr:clientData/>
  </xdr:twoCellAnchor>
  <xdr:twoCellAnchor editAs="oneCell">
    <xdr:from>
      <xdr:col>0</xdr:col>
      <xdr:colOff>390525</xdr:colOff>
      <xdr:row>19</xdr:row>
      <xdr:rowOff>142875</xdr:rowOff>
    </xdr:from>
    <xdr:to>
      <xdr:col>1</xdr:col>
      <xdr:colOff>333374</xdr:colOff>
      <xdr:row>22</xdr:row>
      <xdr:rowOff>123824</xdr:rowOff>
    </xdr:to>
    <xdr:pic>
      <xdr:nvPicPr>
        <xdr:cNvPr id="26" name="Picture 25">
          <a:extLst>
            <a:ext uri="{FF2B5EF4-FFF2-40B4-BE49-F238E27FC236}">
              <a16:creationId xmlns:a16="http://schemas.microsoft.com/office/drawing/2014/main" id="{FDC748CE-78E8-490C-898A-354D3DA4AEDF}"/>
            </a:ext>
          </a:extLst>
        </xdr:cNvPr>
        <xdr:cNvPicPr>
          <a:picLocks noChangeAspect="1"/>
        </xdr:cNvPicPr>
      </xdr:nvPicPr>
      <xdr:blipFill>
        <a:blip xmlns:r="http://schemas.openxmlformats.org/officeDocument/2006/relationships" r:embed="rId9">
          <a:lum bright="70000" contrast="-70000"/>
        </a:blip>
        <a:stretch>
          <a:fillRect/>
        </a:stretch>
      </xdr:blipFill>
      <xdr:spPr>
        <a:xfrm>
          <a:off x="390525" y="3762375"/>
          <a:ext cx="552449" cy="552449"/>
        </a:xfrm>
        <a:prstGeom prst="rect">
          <a:avLst/>
        </a:prstGeom>
      </xdr:spPr>
    </xdr:pic>
    <xdr:clientData/>
  </xdr:twoCellAnchor>
  <xdr:twoCellAnchor>
    <xdr:from>
      <xdr:col>7</xdr:col>
      <xdr:colOff>75638</xdr:colOff>
      <xdr:row>19</xdr:row>
      <xdr:rowOff>114860</xdr:rowOff>
    </xdr:from>
    <xdr:to>
      <xdr:col>15</xdr:col>
      <xdr:colOff>212910</xdr:colOff>
      <xdr:row>33</xdr:row>
      <xdr:rowOff>22412</xdr:rowOff>
    </xdr:to>
    <xdr:sp macro="" textlink="">
      <xdr:nvSpPr>
        <xdr:cNvPr id="27" name="Rectangle: Rounded Corners 26">
          <a:extLst>
            <a:ext uri="{FF2B5EF4-FFF2-40B4-BE49-F238E27FC236}">
              <a16:creationId xmlns:a16="http://schemas.microsoft.com/office/drawing/2014/main" id="{50ED58A1-863F-4802-8707-81CF88C62E81}"/>
            </a:ext>
          </a:extLst>
        </xdr:cNvPr>
        <xdr:cNvSpPr/>
      </xdr:nvSpPr>
      <xdr:spPr>
        <a:xfrm>
          <a:off x="4311462" y="3734360"/>
          <a:ext cx="4978213" cy="257455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7</xdr:col>
      <xdr:colOff>168088</xdr:colOff>
      <xdr:row>20</xdr:row>
      <xdr:rowOff>36417</xdr:rowOff>
    </xdr:from>
    <xdr:to>
      <xdr:col>15</xdr:col>
      <xdr:colOff>134470</xdr:colOff>
      <xdr:row>32</xdr:row>
      <xdr:rowOff>134470</xdr:rowOff>
    </xdr:to>
    <xdr:graphicFrame macro="">
      <xdr:nvGraphicFramePr>
        <xdr:cNvPr id="28" name="Chart 27">
          <a:extLst>
            <a:ext uri="{FF2B5EF4-FFF2-40B4-BE49-F238E27FC236}">
              <a16:creationId xmlns:a16="http://schemas.microsoft.com/office/drawing/2014/main" id="{561A5299-2CB7-4BB4-BA87-F00769045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82361</xdr:colOff>
      <xdr:row>33</xdr:row>
      <xdr:rowOff>38660</xdr:rowOff>
    </xdr:from>
    <xdr:to>
      <xdr:col>15</xdr:col>
      <xdr:colOff>295274</xdr:colOff>
      <xdr:row>47</xdr:row>
      <xdr:rowOff>57150</xdr:rowOff>
    </xdr:to>
    <xdr:sp macro="" textlink="">
      <xdr:nvSpPr>
        <xdr:cNvPr id="30" name="Rectangle: Rounded Corners 29">
          <a:extLst>
            <a:ext uri="{FF2B5EF4-FFF2-40B4-BE49-F238E27FC236}">
              <a16:creationId xmlns:a16="http://schemas.microsoft.com/office/drawing/2014/main" id="{BE529FEE-417A-44BB-B3D8-BDF945803D19}"/>
            </a:ext>
          </a:extLst>
        </xdr:cNvPr>
        <xdr:cNvSpPr/>
      </xdr:nvSpPr>
      <xdr:spPr>
        <a:xfrm>
          <a:off x="4349561" y="6325160"/>
          <a:ext cx="5089713" cy="268549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7</xdr:col>
      <xdr:colOff>533400</xdr:colOff>
      <xdr:row>35</xdr:row>
      <xdr:rowOff>66674</xdr:rowOff>
    </xdr:from>
    <xdr:to>
      <xdr:col>14</xdr:col>
      <xdr:colOff>558612</xdr:colOff>
      <xdr:row>46</xdr:row>
      <xdr:rowOff>114299</xdr:rowOff>
    </xdr:to>
    <xdr:graphicFrame macro="">
      <xdr:nvGraphicFramePr>
        <xdr:cNvPr id="31" name="Chart 30">
          <a:extLst>
            <a:ext uri="{FF2B5EF4-FFF2-40B4-BE49-F238E27FC236}">
              <a16:creationId xmlns:a16="http://schemas.microsoft.com/office/drawing/2014/main" id="{DEC779E9-746E-4286-83BC-4D45D60C1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152400</xdr:colOff>
      <xdr:row>33</xdr:row>
      <xdr:rowOff>161925</xdr:rowOff>
    </xdr:from>
    <xdr:to>
      <xdr:col>15</xdr:col>
      <xdr:colOff>581025</xdr:colOff>
      <xdr:row>35</xdr:row>
      <xdr:rowOff>133350</xdr:rowOff>
    </xdr:to>
    <xdr:sp macro="" textlink="">
      <xdr:nvSpPr>
        <xdr:cNvPr id="32" name="TextBox 31">
          <a:extLst>
            <a:ext uri="{FF2B5EF4-FFF2-40B4-BE49-F238E27FC236}">
              <a16:creationId xmlns:a16="http://schemas.microsoft.com/office/drawing/2014/main" id="{3F346FB9-9210-4035-90CD-8DF5FBCD4946}"/>
            </a:ext>
          </a:extLst>
        </xdr:cNvPr>
        <xdr:cNvSpPr txBox="1"/>
      </xdr:nvSpPr>
      <xdr:spPr>
        <a:xfrm>
          <a:off x="4419600" y="6448425"/>
          <a:ext cx="53054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i="0" u="none" strike="noStrike" kern="1200" baseline="0">
              <a:solidFill>
                <a:srgbClr val="1F497D"/>
              </a:solidFill>
              <a:latin typeface="+mn-lt"/>
              <a:ea typeface="+mn-ea"/>
              <a:cs typeface="+mn-cs"/>
            </a:rPr>
            <a:t>Separated</a:t>
          </a:r>
          <a:r>
            <a:rPr lang="tr-TR" sz="1600" b="1"/>
            <a:t> </a:t>
          </a:r>
          <a:r>
            <a:rPr lang="tr-TR" sz="1600" b="1" i="0" u="none" strike="noStrike" kern="1200" baseline="0">
              <a:solidFill>
                <a:srgbClr val="1F497D"/>
              </a:solidFill>
              <a:latin typeface="+mn-lt"/>
              <a:ea typeface="+mn-ea"/>
              <a:cs typeface="+mn-cs"/>
            </a:rPr>
            <a:t>employees</a:t>
          </a:r>
          <a:r>
            <a:rPr lang="tr-TR" sz="1600" b="1"/>
            <a:t> </a:t>
          </a:r>
          <a:r>
            <a:rPr lang="tr-TR" sz="1600" b="1" i="0" u="none" strike="noStrike" kern="1200" baseline="0">
              <a:solidFill>
                <a:srgbClr val="1F497D"/>
              </a:solidFill>
              <a:latin typeface="+mn-lt"/>
              <a:ea typeface="+mn-ea"/>
              <a:cs typeface="+mn-cs"/>
            </a:rPr>
            <a:t>by gender</a:t>
          </a:r>
          <a:r>
            <a:rPr lang="tr-TR" sz="1600" b="1"/>
            <a:t> </a:t>
          </a:r>
          <a:r>
            <a:rPr lang="tr-TR" sz="1600" b="1" i="0" u="none" strike="noStrike" kern="1200" baseline="0">
              <a:solidFill>
                <a:srgbClr val="1F497D"/>
              </a:solidFill>
              <a:latin typeface="+mn-lt"/>
              <a:ea typeface="+mn-ea"/>
              <a:cs typeface="+mn-cs"/>
            </a:rPr>
            <a:t>and</a:t>
          </a:r>
          <a:r>
            <a:rPr lang="tr-TR" sz="1600" b="1"/>
            <a:t> </a:t>
          </a:r>
          <a:r>
            <a:rPr lang="tr-TR" sz="1600" b="1" i="0" u="none" strike="noStrike" kern="1200" baseline="0">
              <a:solidFill>
                <a:srgbClr val="1F497D"/>
              </a:solidFill>
              <a:latin typeface="+mn-lt"/>
              <a:ea typeface="+mn-ea"/>
              <a:cs typeface="+mn-cs"/>
            </a:rPr>
            <a:t>age</a:t>
          </a:r>
          <a:r>
            <a:rPr lang="tr-TR" sz="1600" b="1"/>
            <a:t> </a:t>
          </a:r>
          <a:r>
            <a:rPr lang="tr-TR" sz="1600" b="1" i="0" u="none" strike="noStrike" kern="1200" baseline="0">
              <a:solidFill>
                <a:srgbClr val="1F497D"/>
              </a:solidFill>
              <a:latin typeface="+mn-lt"/>
              <a:ea typeface="+mn-ea"/>
              <a:cs typeface="+mn-cs"/>
            </a:rPr>
            <a:t>group</a:t>
          </a:r>
        </a:p>
      </xdr:txBody>
    </xdr:sp>
    <xdr:clientData/>
  </xdr:twoCellAnchor>
  <xdr:twoCellAnchor>
    <xdr:from>
      <xdr:col>15</xdr:col>
      <xdr:colOff>330010</xdr:colOff>
      <xdr:row>33</xdr:row>
      <xdr:rowOff>48185</xdr:rowOff>
    </xdr:from>
    <xdr:to>
      <xdr:col>24</xdr:col>
      <xdr:colOff>44822</xdr:colOff>
      <xdr:row>47</xdr:row>
      <xdr:rowOff>66675</xdr:rowOff>
    </xdr:to>
    <xdr:sp macro="" textlink="">
      <xdr:nvSpPr>
        <xdr:cNvPr id="33" name="Rectangle: Rounded Corners 32">
          <a:extLst>
            <a:ext uri="{FF2B5EF4-FFF2-40B4-BE49-F238E27FC236}">
              <a16:creationId xmlns:a16="http://schemas.microsoft.com/office/drawing/2014/main" id="{84BA7FC0-A1A1-4AC9-A98E-37CD084839C5}"/>
            </a:ext>
          </a:extLst>
        </xdr:cNvPr>
        <xdr:cNvSpPr/>
      </xdr:nvSpPr>
      <xdr:spPr>
        <a:xfrm>
          <a:off x="9406775" y="6334685"/>
          <a:ext cx="5160871" cy="268549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16</xdr:col>
      <xdr:colOff>304801</xdr:colOff>
      <xdr:row>33</xdr:row>
      <xdr:rowOff>152400</xdr:rowOff>
    </xdr:from>
    <xdr:to>
      <xdr:col>25</xdr:col>
      <xdr:colOff>453277</xdr:colOff>
      <xdr:row>35</xdr:row>
      <xdr:rowOff>123825</xdr:rowOff>
    </xdr:to>
    <xdr:sp macro="" textlink="">
      <xdr:nvSpPr>
        <xdr:cNvPr id="34" name="TextBox 33">
          <a:extLst>
            <a:ext uri="{FF2B5EF4-FFF2-40B4-BE49-F238E27FC236}">
              <a16:creationId xmlns:a16="http://schemas.microsoft.com/office/drawing/2014/main" id="{91B573CC-E757-4AFD-B257-7C491715B512}"/>
            </a:ext>
          </a:extLst>
        </xdr:cNvPr>
        <xdr:cNvSpPr txBox="1"/>
      </xdr:nvSpPr>
      <xdr:spPr>
        <a:xfrm>
          <a:off x="10058401" y="6438900"/>
          <a:ext cx="563487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i="0" u="none" strike="noStrike" kern="1200" baseline="0">
              <a:solidFill>
                <a:srgbClr val="1F497D"/>
              </a:solidFill>
              <a:latin typeface="+mn-lt"/>
              <a:ea typeface="+mn-ea"/>
              <a:cs typeface="+mn-cs"/>
            </a:rPr>
            <a:t>Separated</a:t>
          </a:r>
          <a:r>
            <a:rPr lang="tr-TR" sz="1600" b="1"/>
            <a:t> </a:t>
          </a:r>
          <a:r>
            <a:rPr lang="tr-TR" sz="1600" b="1" i="0" u="none" strike="noStrike" kern="1200" baseline="0">
              <a:solidFill>
                <a:srgbClr val="1F497D"/>
              </a:solidFill>
              <a:latin typeface="+mn-lt"/>
              <a:ea typeface="+mn-ea"/>
              <a:cs typeface="+mn-cs"/>
            </a:rPr>
            <a:t>employees</a:t>
          </a:r>
          <a:r>
            <a:rPr lang="tr-TR" sz="1600" b="1"/>
            <a:t> </a:t>
          </a:r>
          <a:r>
            <a:rPr lang="tr-TR" sz="1600" b="1" i="0" u="none" strike="noStrike" kern="1200" baseline="0">
              <a:solidFill>
                <a:srgbClr val="1F497D"/>
              </a:solidFill>
              <a:latin typeface="+mn-lt"/>
              <a:ea typeface="+mn-ea"/>
              <a:cs typeface="+mn-cs"/>
            </a:rPr>
            <a:t>by gender</a:t>
          </a:r>
          <a:r>
            <a:rPr lang="tr-TR" sz="1600" b="1"/>
            <a:t> </a:t>
          </a:r>
          <a:r>
            <a:rPr lang="tr-TR" sz="1600" b="1" i="0" u="none" strike="noStrike" kern="1200" baseline="0">
              <a:solidFill>
                <a:srgbClr val="1F497D"/>
              </a:solidFill>
              <a:latin typeface="+mn-lt"/>
              <a:ea typeface="+mn-ea"/>
              <a:cs typeface="+mn-cs"/>
            </a:rPr>
            <a:t>and</a:t>
          </a:r>
          <a:r>
            <a:rPr lang="tr-TR" sz="1600" b="1"/>
            <a:t> </a:t>
          </a:r>
          <a:r>
            <a:rPr lang="tr-TR" sz="1600" b="1" i="0" u="none" strike="noStrike" kern="1200" baseline="0">
              <a:solidFill>
                <a:srgbClr val="1F497D"/>
              </a:solidFill>
              <a:latin typeface="+mn-lt"/>
              <a:ea typeface="+mn-ea"/>
              <a:cs typeface="+mn-cs"/>
            </a:rPr>
            <a:t>department</a:t>
          </a:r>
        </a:p>
      </xdr:txBody>
    </xdr:sp>
    <xdr:clientData/>
  </xdr:twoCellAnchor>
  <xdr:twoCellAnchor>
    <xdr:from>
      <xdr:col>16</xdr:col>
      <xdr:colOff>161925</xdr:colOff>
      <xdr:row>35</xdr:row>
      <xdr:rowOff>95810</xdr:rowOff>
    </xdr:from>
    <xdr:to>
      <xdr:col>23</xdr:col>
      <xdr:colOff>347870</xdr:colOff>
      <xdr:row>46</xdr:row>
      <xdr:rowOff>142875</xdr:rowOff>
    </xdr:to>
    <xdr:graphicFrame macro="">
      <xdr:nvGraphicFramePr>
        <xdr:cNvPr id="35" name="Chart 34">
          <a:extLst>
            <a:ext uri="{FF2B5EF4-FFF2-40B4-BE49-F238E27FC236}">
              <a16:creationId xmlns:a16="http://schemas.microsoft.com/office/drawing/2014/main" id="{3D710785-DED3-44BC-A883-4DEDAECC6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16</xdr:col>
      <xdr:colOff>109256</xdr:colOff>
      <xdr:row>10</xdr:row>
      <xdr:rowOff>91888</xdr:rowOff>
    </xdr:from>
    <xdr:to>
      <xdr:col>23</xdr:col>
      <xdr:colOff>480732</xdr:colOff>
      <xdr:row>19</xdr:row>
      <xdr:rowOff>56029</xdr:rowOff>
    </xdr:to>
    <mc:AlternateContent xmlns:mc="http://schemas.openxmlformats.org/markup-compatibility/2006">
      <mc:Choice xmlns:a14="http://schemas.microsoft.com/office/drawing/2010/main" Requires="a14">
        <xdr:graphicFrame macro="">
          <xdr:nvGraphicFramePr>
            <xdr:cNvPr id="37" name="Department 1">
              <a:extLst>
                <a:ext uri="{FF2B5EF4-FFF2-40B4-BE49-F238E27FC236}">
                  <a16:creationId xmlns:a16="http://schemas.microsoft.com/office/drawing/2014/main" id="{88961756-D774-4988-9030-DA619057C1E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807438" y="1996888"/>
              <a:ext cx="4614430" cy="1678641"/>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280148</xdr:colOff>
      <xdr:row>17</xdr:row>
      <xdr:rowOff>37540</xdr:rowOff>
    </xdr:from>
    <xdr:to>
      <xdr:col>14</xdr:col>
      <xdr:colOff>100853</xdr:colOff>
      <xdr:row>19</xdr:row>
      <xdr:rowOff>8965</xdr:rowOff>
    </xdr:to>
    <xdr:sp macro="" textlink="">
      <xdr:nvSpPr>
        <xdr:cNvPr id="38" name="TextBox 37">
          <a:extLst>
            <a:ext uri="{FF2B5EF4-FFF2-40B4-BE49-F238E27FC236}">
              <a16:creationId xmlns:a16="http://schemas.microsoft.com/office/drawing/2014/main" id="{A7B33426-4BC1-463A-B593-C88E742D5E06}"/>
            </a:ext>
          </a:extLst>
        </xdr:cNvPr>
        <xdr:cNvSpPr txBox="1"/>
      </xdr:nvSpPr>
      <xdr:spPr>
        <a:xfrm>
          <a:off x="6936442" y="3276040"/>
          <a:ext cx="1636058"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a:t>Attrition</a:t>
          </a:r>
          <a:r>
            <a:rPr lang="tr-TR" sz="1600" b="1" baseline="0"/>
            <a:t> rate:</a:t>
          </a:r>
          <a:endParaRPr lang="tr-TR" sz="1600" b="1"/>
        </a:p>
      </xdr:txBody>
    </xdr:sp>
    <xdr:clientData/>
  </xdr:twoCellAnchor>
  <xdr:twoCellAnchor>
    <xdr:from>
      <xdr:col>6</xdr:col>
      <xdr:colOff>33617</xdr:colOff>
      <xdr:row>17</xdr:row>
      <xdr:rowOff>33058</xdr:rowOff>
    </xdr:from>
    <xdr:to>
      <xdr:col>9</xdr:col>
      <xdr:colOff>425823</xdr:colOff>
      <xdr:row>19</xdr:row>
      <xdr:rowOff>4483</xdr:rowOff>
    </xdr:to>
    <xdr:sp macro="" textlink="">
      <xdr:nvSpPr>
        <xdr:cNvPr id="39" name="TextBox 38">
          <a:extLst>
            <a:ext uri="{FF2B5EF4-FFF2-40B4-BE49-F238E27FC236}">
              <a16:creationId xmlns:a16="http://schemas.microsoft.com/office/drawing/2014/main" id="{EC3FDF12-1F3F-426B-8C99-9AB2C3C0D920}"/>
            </a:ext>
          </a:extLst>
        </xdr:cNvPr>
        <xdr:cNvSpPr txBox="1"/>
      </xdr:nvSpPr>
      <xdr:spPr>
        <a:xfrm>
          <a:off x="3664323" y="3271558"/>
          <a:ext cx="220755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a:t>Active employees</a:t>
          </a:r>
          <a:r>
            <a:rPr lang="tr-TR" sz="1600" b="1" baseline="0"/>
            <a:t> rate:</a:t>
          </a:r>
          <a:endParaRPr lang="tr-TR" sz="1600" b="1"/>
        </a:p>
      </xdr:txBody>
    </xdr:sp>
    <xdr:clientData/>
  </xdr:twoCellAnchor>
  <xdr:twoCellAnchor>
    <xdr:from>
      <xdr:col>15</xdr:col>
      <xdr:colOff>250450</xdr:colOff>
      <xdr:row>19</xdr:row>
      <xdr:rowOff>99172</xdr:rowOff>
    </xdr:from>
    <xdr:to>
      <xdr:col>23</xdr:col>
      <xdr:colOff>387722</xdr:colOff>
      <xdr:row>33</xdr:row>
      <xdr:rowOff>6724</xdr:rowOff>
    </xdr:to>
    <xdr:sp macro="" textlink="">
      <xdr:nvSpPr>
        <xdr:cNvPr id="40" name="Rectangle: Rounded Corners 39">
          <a:extLst>
            <a:ext uri="{FF2B5EF4-FFF2-40B4-BE49-F238E27FC236}">
              <a16:creationId xmlns:a16="http://schemas.microsoft.com/office/drawing/2014/main" id="{393B462A-1EFE-4A49-9EFE-B8F98DE575CC}"/>
            </a:ext>
          </a:extLst>
        </xdr:cNvPr>
        <xdr:cNvSpPr/>
      </xdr:nvSpPr>
      <xdr:spPr>
        <a:xfrm>
          <a:off x="9327215" y="3718672"/>
          <a:ext cx="4978213" cy="257455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15</xdr:col>
      <xdr:colOff>515469</xdr:colOff>
      <xdr:row>19</xdr:row>
      <xdr:rowOff>134471</xdr:rowOff>
    </xdr:from>
    <xdr:to>
      <xdr:col>23</xdr:col>
      <xdr:colOff>183213</xdr:colOff>
      <xdr:row>32</xdr:row>
      <xdr:rowOff>89647</xdr:rowOff>
    </xdr:to>
    <xdr:graphicFrame macro="">
      <xdr:nvGraphicFramePr>
        <xdr:cNvPr id="42" name="Chart 41">
          <a:extLst>
            <a:ext uri="{FF2B5EF4-FFF2-40B4-BE49-F238E27FC236}">
              <a16:creationId xmlns:a16="http://schemas.microsoft.com/office/drawing/2014/main" id="{E9F8D051-F2EB-4AFA-BFCE-3D3FA6B34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373715</xdr:colOff>
      <xdr:row>19</xdr:row>
      <xdr:rowOff>108697</xdr:rowOff>
    </xdr:from>
    <xdr:to>
      <xdr:col>23</xdr:col>
      <xdr:colOff>68915</xdr:colOff>
      <xdr:row>33</xdr:row>
      <xdr:rowOff>184897</xdr:rowOff>
    </xdr:to>
    <xdr:graphicFrame macro="">
      <xdr:nvGraphicFramePr>
        <xdr:cNvPr id="41" name="Chart 40">
          <a:extLst>
            <a:ext uri="{FF2B5EF4-FFF2-40B4-BE49-F238E27FC236}">
              <a16:creationId xmlns:a16="http://schemas.microsoft.com/office/drawing/2014/main" id="{D97E7A7A-2F3E-4B16-B488-4A47C9F74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80120</xdr:colOff>
      <xdr:row>47</xdr:row>
      <xdr:rowOff>117101</xdr:rowOff>
    </xdr:from>
    <xdr:to>
      <xdr:col>8</xdr:col>
      <xdr:colOff>293033</xdr:colOff>
      <xdr:row>61</xdr:row>
      <xdr:rowOff>135591</xdr:rowOff>
    </xdr:to>
    <xdr:sp macro="" textlink="">
      <xdr:nvSpPr>
        <xdr:cNvPr id="43" name="Rectangle: Rounded Corners 42">
          <a:extLst>
            <a:ext uri="{FF2B5EF4-FFF2-40B4-BE49-F238E27FC236}">
              <a16:creationId xmlns:a16="http://schemas.microsoft.com/office/drawing/2014/main" id="{5AE24A2C-9C0A-4CA9-89B9-AEA139BC722A}"/>
            </a:ext>
          </a:extLst>
        </xdr:cNvPr>
        <xdr:cNvSpPr/>
      </xdr:nvSpPr>
      <xdr:spPr>
        <a:xfrm>
          <a:off x="80120" y="9070601"/>
          <a:ext cx="5053854" cy="268549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8</xdr:col>
      <xdr:colOff>310962</xdr:colOff>
      <xdr:row>47</xdr:row>
      <xdr:rowOff>123824</xdr:rowOff>
    </xdr:from>
    <xdr:to>
      <xdr:col>16</xdr:col>
      <xdr:colOff>523875</xdr:colOff>
      <xdr:row>61</xdr:row>
      <xdr:rowOff>142314</xdr:rowOff>
    </xdr:to>
    <xdr:sp macro="" textlink="">
      <xdr:nvSpPr>
        <xdr:cNvPr id="44" name="Rectangle: Rounded Corners 43">
          <a:extLst>
            <a:ext uri="{FF2B5EF4-FFF2-40B4-BE49-F238E27FC236}">
              <a16:creationId xmlns:a16="http://schemas.microsoft.com/office/drawing/2014/main" id="{3C3AA187-2CD3-431A-8459-E8EBE77B0FB3}"/>
            </a:ext>
          </a:extLst>
        </xdr:cNvPr>
        <xdr:cNvSpPr/>
      </xdr:nvSpPr>
      <xdr:spPr>
        <a:xfrm>
          <a:off x="5151903" y="9077324"/>
          <a:ext cx="5053854" cy="268549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16</xdr:col>
      <xdr:colOff>541804</xdr:colOff>
      <xdr:row>47</xdr:row>
      <xdr:rowOff>130547</xdr:rowOff>
    </xdr:from>
    <xdr:to>
      <xdr:col>24</xdr:col>
      <xdr:colOff>176893</xdr:colOff>
      <xdr:row>61</xdr:row>
      <xdr:rowOff>149037</xdr:rowOff>
    </xdr:to>
    <xdr:sp macro="" textlink="">
      <xdr:nvSpPr>
        <xdr:cNvPr id="45" name="Rectangle: Rounded Corners 44">
          <a:extLst>
            <a:ext uri="{FF2B5EF4-FFF2-40B4-BE49-F238E27FC236}">
              <a16:creationId xmlns:a16="http://schemas.microsoft.com/office/drawing/2014/main" id="{5E1D9745-419B-46C7-B91B-7A03319B07EC}"/>
            </a:ext>
          </a:extLst>
        </xdr:cNvPr>
        <xdr:cNvSpPr/>
      </xdr:nvSpPr>
      <xdr:spPr>
        <a:xfrm>
          <a:off x="10338947" y="9084047"/>
          <a:ext cx="4533660" cy="268549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0</xdr:col>
      <xdr:colOff>248208</xdr:colOff>
      <xdr:row>48</xdr:row>
      <xdr:rowOff>11206</xdr:rowOff>
    </xdr:from>
    <xdr:to>
      <xdr:col>8</xdr:col>
      <xdr:colOff>67235</xdr:colOff>
      <xdr:row>61</xdr:row>
      <xdr:rowOff>44824</xdr:rowOff>
    </xdr:to>
    <xdr:graphicFrame macro="">
      <xdr:nvGraphicFramePr>
        <xdr:cNvPr id="46" name="Chart 45">
          <a:extLst>
            <a:ext uri="{FF2B5EF4-FFF2-40B4-BE49-F238E27FC236}">
              <a16:creationId xmlns:a16="http://schemas.microsoft.com/office/drawing/2014/main" id="{CD0FFA02-B00A-4AD6-BA58-8409DE9F4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344580</xdr:colOff>
      <xdr:row>48</xdr:row>
      <xdr:rowOff>45383</xdr:rowOff>
    </xdr:from>
    <xdr:to>
      <xdr:col>16</xdr:col>
      <xdr:colOff>459442</xdr:colOff>
      <xdr:row>61</xdr:row>
      <xdr:rowOff>89647</xdr:rowOff>
    </xdr:to>
    <xdr:graphicFrame macro="">
      <xdr:nvGraphicFramePr>
        <xdr:cNvPr id="47" name="Chart 46">
          <a:extLst>
            <a:ext uri="{FF2B5EF4-FFF2-40B4-BE49-F238E27FC236}">
              <a16:creationId xmlns:a16="http://schemas.microsoft.com/office/drawing/2014/main" id="{E715E6DD-8529-4D6A-B1B9-91E416C54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519953</xdr:colOff>
      <xdr:row>47</xdr:row>
      <xdr:rowOff>128308</xdr:rowOff>
    </xdr:from>
    <xdr:to>
      <xdr:col>15</xdr:col>
      <xdr:colOff>438150</xdr:colOff>
      <xdr:row>49</xdr:row>
      <xdr:rowOff>99733</xdr:rowOff>
    </xdr:to>
    <xdr:sp macro="" textlink="">
      <xdr:nvSpPr>
        <xdr:cNvPr id="48" name="TextBox 47">
          <a:extLst>
            <a:ext uri="{FF2B5EF4-FFF2-40B4-BE49-F238E27FC236}">
              <a16:creationId xmlns:a16="http://schemas.microsoft.com/office/drawing/2014/main" id="{7434FE62-12E0-4E64-9127-10666732C40A}"/>
            </a:ext>
          </a:extLst>
        </xdr:cNvPr>
        <xdr:cNvSpPr txBox="1"/>
      </xdr:nvSpPr>
      <xdr:spPr>
        <a:xfrm>
          <a:off x="6006353" y="9081808"/>
          <a:ext cx="3575797"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i="0" u="none" strike="noStrike" kern="1200" baseline="0">
              <a:solidFill>
                <a:srgbClr val="1F497D"/>
              </a:solidFill>
              <a:latin typeface="+mn-lt"/>
              <a:ea typeface="+mn-ea"/>
              <a:cs typeface="+mn-cs"/>
            </a:rPr>
            <a:t>Average salary by gender and job title</a:t>
          </a:r>
        </a:p>
      </xdr:txBody>
    </xdr:sp>
    <xdr:clientData/>
  </xdr:twoCellAnchor>
  <xdr:twoCellAnchor>
    <xdr:from>
      <xdr:col>16</xdr:col>
      <xdr:colOff>541804</xdr:colOff>
      <xdr:row>49</xdr:row>
      <xdr:rowOff>134471</xdr:rowOff>
    </xdr:from>
    <xdr:to>
      <xdr:col>23</xdr:col>
      <xdr:colOff>493059</xdr:colOff>
      <xdr:row>62</xdr:row>
      <xdr:rowOff>16246</xdr:rowOff>
    </xdr:to>
    <xdr:graphicFrame macro="">
      <xdr:nvGraphicFramePr>
        <xdr:cNvPr id="49" name="Chart 48">
          <a:extLst>
            <a:ext uri="{FF2B5EF4-FFF2-40B4-BE49-F238E27FC236}">
              <a16:creationId xmlns:a16="http://schemas.microsoft.com/office/drawing/2014/main" id="{B4CE0559-32C8-42D1-B8C3-F81F8D2DE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517073</xdr:colOff>
      <xdr:row>48</xdr:row>
      <xdr:rowOff>75240</xdr:rowOff>
    </xdr:from>
    <xdr:to>
      <xdr:col>24</xdr:col>
      <xdr:colOff>272144</xdr:colOff>
      <xdr:row>51</xdr:row>
      <xdr:rowOff>156482</xdr:rowOff>
    </xdr:to>
    <xdr:sp macro="" textlink="">
      <xdr:nvSpPr>
        <xdr:cNvPr id="50" name="TextBox 49">
          <a:extLst>
            <a:ext uri="{FF2B5EF4-FFF2-40B4-BE49-F238E27FC236}">
              <a16:creationId xmlns:a16="http://schemas.microsoft.com/office/drawing/2014/main" id="{959DF0C5-B47A-4BC5-A39A-9727F9127B73}"/>
            </a:ext>
          </a:extLst>
        </xdr:cNvPr>
        <xdr:cNvSpPr txBox="1"/>
      </xdr:nvSpPr>
      <xdr:spPr>
        <a:xfrm>
          <a:off x="10314216" y="9219240"/>
          <a:ext cx="4653642" cy="652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i="0" u="none" strike="noStrike" kern="1200" baseline="0">
              <a:solidFill>
                <a:srgbClr val="1F497D"/>
              </a:solidFill>
              <a:latin typeface="+mn-lt"/>
              <a:ea typeface="+mn-ea"/>
              <a:cs typeface="+mn-cs"/>
            </a:rPr>
            <a:t>High performer attrition - Avg Salary by 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N" refreshedDate="46054.914552893519" createdVersion="6" refreshedVersion="6" minRefreshableVersion="3" recordCount="300" xr:uid="{C6A7DE37-726C-4C4B-ADDD-294FA3546689}">
  <cacheSource type="worksheet">
    <worksheetSource name="Table1"/>
  </cacheSource>
  <cacheFields count="15">
    <cacheField name="EmployeeID" numFmtId="0">
      <sharedItems containsSemiMixedTypes="0" containsString="0" containsNumber="1" containsInteger="1" minValue="1" maxValue="300"/>
    </cacheField>
    <cacheField name="FirstName" numFmtId="0">
      <sharedItems/>
    </cacheField>
    <cacheField name="LastName" numFmtId="0">
      <sharedItems/>
    </cacheField>
    <cacheField name="Full Name" numFmtId="0">
      <sharedItems count="301">
        <s v="Susan Martin"/>
        <s v="Sarah Lewis"/>
        <s v="Olivia Johnson"/>
        <s v="Robert Johnson"/>
        <s v="Jennifer Lee"/>
        <s v="Karen Hall"/>
        <s v="Olivia Thomas"/>
        <s v="Michael Taylor"/>
        <s v="Mary Thomas"/>
        <s v="John Thomas"/>
        <s v="William Jackson"/>
        <s v="Sophia White"/>
        <s v="Susan Walker"/>
        <s v="David Thompson"/>
        <s v="David Lewis"/>
        <s v="Barbara Johnson"/>
        <s v="Anthony Jackson"/>
        <s v="Paul Allen"/>
        <s v="Linda Lee"/>
        <s v="Jennifer Smith"/>
        <s v="Sophia Garcia"/>
        <s v="Patricia Clark"/>
        <s v="Thomas Martinez"/>
        <s v="John Garcia"/>
        <s v="Elizabeth Lewis"/>
        <s v="Robert Jackson"/>
        <s v="Christopher Lee"/>
        <s v="Jessica Jackson"/>
        <s v="Steven Martinez"/>
        <s v="Elizabeth Thomas"/>
        <s v="Jessica Clark"/>
        <s v="Sophia Clark"/>
        <s v="Patricia Johnson"/>
        <s v="Mary Hall"/>
        <s v="Jessica Taylor"/>
        <s v="John Smith"/>
        <s v="Paul Martin"/>
        <s v="Patricia Anderson"/>
        <s v="Charles Lee"/>
        <s v="Jessica Thompson"/>
        <s v="Steven Hall"/>
        <s v="John Robinson"/>
        <s v="Sophia Brown"/>
        <s v="Steven Allen"/>
        <s v="Mark Hall"/>
        <s v="Anna Garcia"/>
        <s v="Thomas Anderson"/>
        <s v="Anthony Garcia"/>
        <s v="Steven Harris"/>
        <s v="Thomas White"/>
        <s v="Elizabeth Thompson"/>
        <s v="Patricia Allen"/>
        <s v="David Brown"/>
        <s v="Jennifer Clark"/>
        <s v="John Martinez"/>
        <s v="Anthony Walker"/>
        <s v="William Thompson"/>
        <s v="Paul White"/>
        <s v="Olivia White"/>
        <s v="Barbara Hall"/>
        <s v="Thomas Allen"/>
        <s v="Linda Johnson"/>
        <s v="Robert Walker"/>
        <s v="Robert Thompson"/>
        <s v="William Taylor"/>
        <s v="Elizabeth Martin"/>
        <s v="Olivia Allen"/>
        <s v="William Hall"/>
        <s v="Joseph Clark"/>
        <s v="Elizabeth Martinez"/>
        <s v="Thomas Martin"/>
        <s v="Jennifer Anderson"/>
        <s v="Emma Lewis"/>
        <s v="Mary Brown"/>
        <s v="Jennifer Garcia"/>
        <s v="Mary Walker"/>
        <s v="Mark Garcia"/>
        <s v="Steven Brown"/>
        <s v="Anna Allen"/>
        <s v="Elizabeth Johnson"/>
        <s v="Anthony Smith"/>
        <s v="Susan Brown"/>
        <s v="Michael Harris"/>
        <s v="Paul Smith"/>
        <s v="Daniel Walker"/>
        <s v="Jessica Lewis"/>
        <s v="Jennifer Jackson"/>
        <s v="Elizabeth Robinson"/>
        <s v="Sarah Jackson"/>
        <s v="Robert Harris"/>
        <s v="Steven Anderson"/>
        <s v="Sophia Walker"/>
        <s v="Thomas Garcia"/>
        <s v="Jessica Anderson"/>
        <s v="Mark Johnson"/>
        <s v="David White"/>
        <s v="Susan Clark"/>
        <s v="Emma Martin"/>
        <s v="Sophia Allen"/>
        <s v="Mary Smith"/>
        <s v="John Walker"/>
        <s v="Joseph Taylor"/>
        <s v="Thomas Johnson"/>
        <s v="Jessica Martin"/>
        <s v="Joseph Harris"/>
        <s v="Anthony Allen"/>
        <s v="Emma Jackson"/>
        <s v="James Lewis"/>
        <s v="Mark Robinson"/>
        <s v="John Allen"/>
        <s v="Barbara Anderson"/>
        <s v="Elizabeth Smith"/>
        <s v="Robert Martin"/>
        <s v="Christopher Harris"/>
        <s v="James White"/>
        <s v="William Lewis"/>
        <s v="David Garcia"/>
        <s v="James Lee"/>
        <s v="Jessica Smith"/>
        <s v="John Johnson"/>
        <s v="William Johnson"/>
        <s v="Mark Martin"/>
        <s v="Sophia Smith"/>
        <s v="Joseph Smith"/>
        <s v="William Allen"/>
        <s v="Susan Garcia"/>
        <s v="Daniel Lewis"/>
        <s v="Charles Jackson"/>
        <s v="Paul Lee"/>
        <s v="Joseph Thomas"/>
        <s v="Daniel Garcia"/>
        <s v="Karen Walker"/>
        <s v="Linda Hall"/>
        <s v="Jennifer Lewis"/>
        <s v="Paul Robinson"/>
        <s v="Anna Hall"/>
        <s v="Karen Smith"/>
        <s v="Thomas Thompson"/>
        <s v="Patricia Lee"/>
        <s v="Joseph Johnson"/>
        <s v="Sarah Martin"/>
        <s v="Christopher Walker"/>
        <s v="Emma Clark"/>
        <s v="Mark Walker"/>
        <s v="Sarah Walker"/>
        <s v="Barbara White"/>
        <s v="Susan Taylor"/>
        <s v="Joseph Allen"/>
        <s v="Linda Anderson"/>
        <s v="Charles Anderson"/>
        <s v="Susan Allen"/>
        <s v="John Hall"/>
        <s v="Karen Martinez"/>
        <s v="Mark Anderson"/>
        <s v="Steven Thompson"/>
        <s v="Anna White"/>
        <s v="Emily Clark"/>
        <s v="Olivia Harris"/>
        <s v="Karen Robinson"/>
        <s v="Paul Lewis"/>
        <s v="Patricia Hall"/>
        <s v="Paul Taylor"/>
        <s v="Jennifer Robinson"/>
        <s v="Christopher Martinez"/>
        <s v="Thomas Brown"/>
        <s v="Emma Garcia"/>
        <s v="James Taylor"/>
        <s v="Mary Harris"/>
        <s v="James Martinez"/>
        <s v="Steven Johnson"/>
        <s v="Steven Jackson"/>
        <s v="David Walker"/>
        <s v="Linda Garcia"/>
        <s v="Mary Martin"/>
        <s v="Elizabeth Anderson"/>
        <s v="Sarah Johnson"/>
        <s v="Sarah Martinez"/>
        <s v="John Thompson"/>
        <s v="Robert Hall"/>
        <s v="Sophia Martin"/>
        <s v="Barbara Martin"/>
        <s v="Anthony Lewis"/>
        <s v="Daniel White"/>
        <s v="Robert White"/>
        <s v="Michael White"/>
        <s v="Anna Jackson"/>
        <s v="John Lee"/>
        <s v="Susan Jackson"/>
        <s v="Paul Harris"/>
        <s v="Barbara Lee"/>
        <s v="Daniel Clark"/>
        <s v="William Martin"/>
        <s v="Elizabeth Brown"/>
        <s v="Michael Martin"/>
        <s v="Christopher Brown"/>
        <s v="David Smith"/>
        <s v="James Walker"/>
        <s v="William Martinez"/>
        <s v="Linda Thompson"/>
        <s v="Mary Jackson"/>
        <s v="Joseph Jackson"/>
        <s v="Anna Johnson"/>
        <s v="Michael Hall"/>
        <s v="Paul Martinez"/>
        <s v="Christopher Clark"/>
        <s v="Daniel Thompson"/>
        <s v="Elizabeth Walker"/>
        <s v="James Martin"/>
        <s v="Susan Lewis"/>
        <s v="Linda Taylor"/>
        <s v="Anna Harris"/>
        <s v="Olivia Thompson"/>
        <s v="David Martinez"/>
        <s v="Christopher Garcia"/>
        <s v="Barbara Thomas"/>
        <s v="William Clark"/>
        <s v="Barbara Brown"/>
        <s v="Paul Anderson"/>
        <s v="Patricia Martin"/>
        <s v="Michael Robinson"/>
        <s v="Mary Lewis"/>
        <s v="Anthony Clark"/>
        <s v="Emma Martinez"/>
        <s v="Robert Smith"/>
        <s v="Charles Martin"/>
        <s v="Christopher Allen"/>
        <s v="Jessica Johnson"/>
        <s v="Susan Hall"/>
        <s v="Michael Thomas"/>
        <s v="Mary Taylor"/>
        <s v="Sophia Johnson"/>
        <s v="Sophia Thompson"/>
        <s v="Jennifer Taylor"/>
        <s v="Elizabeth Hall"/>
        <s v="Christopher Martin"/>
        <s v="Christopher Taylor"/>
        <s v="Joseph Lee"/>
        <s v="William White"/>
        <s v="Linda Robinson"/>
        <s v="Steven Thomas"/>
        <s v="Charles Allen"/>
        <s v="Steven Clark"/>
        <s v="Mark Taylor"/>
        <s v="Steven White"/>
        <s v="Elizabeth Clark"/>
        <s v="John Anderson"/>
        <s v="Linda Smith"/>
        <s v="Mary Thompson"/>
        <s v="Michael Johnson"/>
        <s v="Anthony Thompson"/>
        <s v="James Robinson"/>
        <s v="Michael Thompson"/>
        <s v="Joseph Walker"/>
        <s v="Sarah Hall"/>
        <s v="Anthony White"/>
        <s v="Robert Lewis"/>
        <s v="Sophia Harris"/>
        <s v="James Brown"/>
        <s v="Michael Lewis"/>
        <s v="David Lee"/>
        <s v="David Jackson"/>
        <s v="Christopher White"/>
        <s v="Anna Smith"/>
        <s v="Anthony Brown"/>
        <s v="Daniel Thomas"/>
        <s v="Emily Martin"/>
        <s v="Anna Lewis"/>
        <s v="Emily Martinez"/>
        <s v="Olivia Anderson"/>
        <s v="Emma Hall"/>
        <s v="Paul Hall"/>
        <s v="Anthony Martinez"/>
        <s v="Michael Clark"/>
        <s v="Sophia Jackson"/>
        <s v="Emma White"/>
        <s v="Sophia Thomas"/>
        <s v="Barbara Garcia"/>
        <s v="Anna Martinez"/>
        <s v="Emily Hall"/>
        <s v="Anna Taylor"/>
        <s v="Christopher Thompson"/>
        <s v="Emma Smith"/>
        <s v="Sophia Lewis"/>
        <s v="Mary Martinez"/>
        <s v="Jessica Hall"/>
        <s v="Michael Martinez"/>
        <s v="Mary Robinson"/>
        <s v="Jennifer Allen"/>
        <s v="Susan White"/>
        <s v="Sophia Taylor"/>
        <s v="Daniel Anderson"/>
        <s v="Patricia Taylor"/>
        <s v="Karen Taylor"/>
        <s v="William Harris"/>
        <s v="Michael Garcia"/>
        <s v="Olivia Lee"/>
        <s v="Karen Johnson"/>
        <s v="Charles Taylor"/>
        <s v="Jessica Lee"/>
        <s v="Jennifer Hall"/>
        <e v="#NAME?" u="1"/>
      </sharedItems>
    </cacheField>
    <cacheField name="Gender" numFmtId="0">
      <sharedItems count="2">
        <s v="Female"/>
        <s v="Male"/>
      </sharedItems>
    </cacheField>
    <cacheField name="Age" numFmtId="0">
      <sharedItems containsSemiMixedTypes="0" containsString="0" containsNumber="1" containsInteger="1" minValue="22" maxValue="60"/>
    </cacheField>
    <cacheField name="Department" numFmtId="0">
      <sharedItems count="6">
        <s v="Finance"/>
        <s v="HR"/>
        <s v="Sales"/>
        <s v="Marketing"/>
        <s v="IT"/>
        <s v="Operations"/>
      </sharedItems>
    </cacheField>
    <cacheField name="JobTitle" numFmtId="0">
      <sharedItems count="5">
        <s v="Specialist"/>
        <s v="Analyst"/>
        <s v="Engineer"/>
        <s v="Manager"/>
        <s v="Assistant"/>
      </sharedItems>
    </cacheField>
    <cacheField name="HireDate" numFmtId="14">
      <sharedItems containsSemiMixedTypes="0" containsNonDate="0" containsDate="1" containsString="0" minDate="2010-01-01T00:00:00" maxDate="2025-01-16T00:00:00"/>
    </cacheField>
    <cacheField name="Salary" numFmtId="164">
      <sharedItems containsSemiMixedTypes="0" containsString="0" containsNumber="1" containsInteger="1" minValue="25209" maxValue="94712"/>
    </cacheField>
    <cacheField name="PerformanceScore" numFmtId="0">
      <sharedItems containsSemiMixedTypes="0" containsString="0" containsNumber="1" containsInteger="1" minValue="1" maxValue="5" count="5">
        <n v="1"/>
        <n v="5"/>
        <n v="2"/>
        <n v="4"/>
        <n v="3"/>
      </sharedItems>
    </cacheField>
    <cacheField name="YearsAtCompany" numFmtId="0">
      <sharedItems containsSemiMixedTypes="0" containsString="0" containsNumber="1" containsInteger="1" minValue="1" maxValue="16"/>
    </cacheField>
    <cacheField name="Attrition" numFmtId="0">
      <sharedItems count="2">
        <s v="No"/>
        <s v="Yes"/>
      </sharedItems>
    </cacheField>
    <cacheField name="Age Group" numFmtId="0">
      <sharedItems count="4">
        <s v="31-40"/>
        <s v="41-50"/>
        <s v="20-30"/>
        <s v="51-60"/>
      </sharedItems>
    </cacheField>
    <cacheField name="Year" numFmtId="0">
      <sharedItems containsSemiMixedTypes="0" containsString="0" containsNumber="1" containsInteger="1" minValue="2010" maxValue="2025" count="16">
        <n v="2022"/>
        <n v="2021"/>
        <n v="2015"/>
        <n v="2013"/>
        <n v="2011"/>
        <n v="2010"/>
        <n v="2024"/>
        <n v="2014"/>
        <n v="2016"/>
        <n v="2020"/>
        <n v="2012"/>
        <n v="2018"/>
        <n v="2023"/>
        <n v="2017"/>
        <n v="2019"/>
        <n v="2025"/>
      </sharedItems>
    </cacheField>
  </cacheFields>
  <extLst>
    <ext xmlns:x14="http://schemas.microsoft.com/office/spreadsheetml/2009/9/main" uri="{725AE2AE-9491-48be-B2B4-4EB974FC3084}">
      <x14:pivotCacheDefinition pivotCacheId="688108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s v="Susan"/>
    <s v="Martin"/>
    <x v="0"/>
    <x v="0"/>
    <n v="32"/>
    <x v="0"/>
    <x v="0"/>
    <d v="2022-02-20T00:00:00"/>
    <n v="26067"/>
    <x v="0"/>
    <n v="3"/>
    <x v="0"/>
    <x v="0"/>
    <x v="0"/>
  </r>
  <r>
    <n v="2"/>
    <s v="Sarah"/>
    <s v="Lewis"/>
    <x v="1"/>
    <x v="0"/>
    <n v="43"/>
    <x v="1"/>
    <x v="1"/>
    <d v="2021-04-19T00:00:00"/>
    <n v="45343"/>
    <x v="0"/>
    <n v="4"/>
    <x v="0"/>
    <x v="1"/>
    <x v="1"/>
  </r>
  <r>
    <n v="3"/>
    <s v="Olivia"/>
    <s v="Johnson"/>
    <x v="2"/>
    <x v="0"/>
    <n v="22"/>
    <x v="2"/>
    <x v="2"/>
    <d v="2022-08-20T00:00:00"/>
    <n v="32920"/>
    <x v="0"/>
    <n v="3"/>
    <x v="1"/>
    <x v="2"/>
    <x v="0"/>
  </r>
  <r>
    <n v="4"/>
    <s v="Robert"/>
    <s v="Johnson"/>
    <x v="3"/>
    <x v="1"/>
    <n v="24"/>
    <x v="2"/>
    <x v="1"/>
    <d v="2015-06-18T00:00:00"/>
    <n v="43170"/>
    <x v="1"/>
    <n v="10"/>
    <x v="0"/>
    <x v="2"/>
    <x v="2"/>
  </r>
  <r>
    <n v="5"/>
    <s v="Jennifer"/>
    <s v="Lee"/>
    <x v="4"/>
    <x v="0"/>
    <n v="59"/>
    <x v="0"/>
    <x v="3"/>
    <d v="2013-01-16T00:00:00"/>
    <n v="69143"/>
    <x v="2"/>
    <n v="13"/>
    <x v="0"/>
    <x v="3"/>
    <x v="3"/>
  </r>
  <r>
    <n v="6"/>
    <s v="Karen"/>
    <s v="Hall"/>
    <x v="5"/>
    <x v="0"/>
    <n v="51"/>
    <x v="0"/>
    <x v="4"/>
    <d v="2011-05-22T00:00:00"/>
    <n v="25874"/>
    <x v="3"/>
    <n v="14"/>
    <x v="0"/>
    <x v="3"/>
    <x v="4"/>
  </r>
  <r>
    <n v="7"/>
    <s v="Olivia"/>
    <s v="Thomas"/>
    <x v="6"/>
    <x v="0"/>
    <n v="35"/>
    <x v="1"/>
    <x v="2"/>
    <d v="2010-09-02T00:00:00"/>
    <n v="60796"/>
    <x v="0"/>
    <n v="15"/>
    <x v="1"/>
    <x v="0"/>
    <x v="5"/>
  </r>
  <r>
    <n v="8"/>
    <s v="Michael"/>
    <s v="Taylor"/>
    <x v="7"/>
    <x v="1"/>
    <n v="55"/>
    <x v="0"/>
    <x v="1"/>
    <d v="2015-02-10T00:00:00"/>
    <n v="94245"/>
    <x v="0"/>
    <n v="10"/>
    <x v="0"/>
    <x v="3"/>
    <x v="2"/>
  </r>
  <r>
    <n v="9"/>
    <s v="Mary"/>
    <s v="Thomas"/>
    <x v="8"/>
    <x v="0"/>
    <n v="44"/>
    <x v="3"/>
    <x v="3"/>
    <d v="2011-07-19T00:00:00"/>
    <n v="93619"/>
    <x v="2"/>
    <n v="14"/>
    <x v="0"/>
    <x v="1"/>
    <x v="4"/>
  </r>
  <r>
    <n v="10"/>
    <s v="John"/>
    <s v="Thomas"/>
    <x v="9"/>
    <x v="1"/>
    <n v="37"/>
    <x v="4"/>
    <x v="0"/>
    <d v="2015-12-28T00:00:00"/>
    <n v="61688"/>
    <x v="0"/>
    <n v="10"/>
    <x v="1"/>
    <x v="0"/>
    <x v="2"/>
  </r>
  <r>
    <n v="11"/>
    <s v="William"/>
    <s v="Jackson"/>
    <x v="10"/>
    <x v="1"/>
    <n v="44"/>
    <x v="0"/>
    <x v="0"/>
    <d v="2022-08-15T00:00:00"/>
    <n v="31572"/>
    <x v="1"/>
    <n v="3"/>
    <x v="1"/>
    <x v="1"/>
    <x v="0"/>
  </r>
  <r>
    <n v="12"/>
    <s v="Sophia"/>
    <s v="White"/>
    <x v="11"/>
    <x v="0"/>
    <n v="28"/>
    <x v="4"/>
    <x v="0"/>
    <d v="2024-06-15T00:00:00"/>
    <n v="89225"/>
    <x v="2"/>
    <n v="1"/>
    <x v="0"/>
    <x v="2"/>
    <x v="6"/>
  </r>
  <r>
    <n v="13"/>
    <s v="Susan"/>
    <s v="Walker"/>
    <x v="12"/>
    <x v="0"/>
    <n v="44"/>
    <x v="0"/>
    <x v="0"/>
    <d v="2015-08-03T00:00:00"/>
    <n v="51786"/>
    <x v="0"/>
    <n v="10"/>
    <x v="0"/>
    <x v="1"/>
    <x v="2"/>
  </r>
  <r>
    <n v="14"/>
    <s v="David"/>
    <s v="Thompson"/>
    <x v="13"/>
    <x v="1"/>
    <n v="24"/>
    <x v="0"/>
    <x v="2"/>
    <d v="2015-05-22T00:00:00"/>
    <n v="83984"/>
    <x v="4"/>
    <n v="10"/>
    <x v="1"/>
    <x v="2"/>
    <x v="2"/>
  </r>
  <r>
    <n v="15"/>
    <s v="David"/>
    <s v="Lewis"/>
    <x v="14"/>
    <x v="1"/>
    <n v="39"/>
    <x v="2"/>
    <x v="3"/>
    <d v="2022-05-05T00:00:00"/>
    <n v="48627"/>
    <x v="4"/>
    <n v="3"/>
    <x v="0"/>
    <x v="0"/>
    <x v="0"/>
  </r>
  <r>
    <n v="16"/>
    <s v="Barbara"/>
    <s v="Johnson"/>
    <x v="15"/>
    <x v="0"/>
    <n v="33"/>
    <x v="1"/>
    <x v="4"/>
    <d v="2024-05-19T00:00:00"/>
    <n v="92892"/>
    <x v="1"/>
    <n v="1"/>
    <x v="0"/>
    <x v="0"/>
    <x v="6"/>
  </r>
  <r>
    <n v="17"/>
    <s v="Anthony"/>
    <s v="Jackson"/>
    <x v="16"/>
    <x v="1"/>
    <n v="26"/>
    <x v="2"/>
    <x v="3"/>
    <d v="2024-09-23T00:00:00"/>
    <n v="79802"/>
    <x v="1"/>
    <n v="1"/>
    <x v="1"/>
    <x v="2"/>
    <x v="6"/>
  </r>
  <r>
    <n v="18"/>
    <s v="Paul"/>
    <s v="Allen"/>
    <x v="17"/>
    <x v="1"/>
    <n v="34"/>
    <x v="4"/>
    <x v="2"/>
    <d v="2024-11-03T00:00:00"/>
    <n v="87264"/>
    <x v="1"/>
    <n v="1"/>
    <x v="0"/>
    <x v="0"/>
    <x v="6"/>
  </r>
  <r>
    <n v="19"/>
    <s v="Linda"/>
    <s v="Lee"/>
    <x v="18"/>
    <x v="0"/>
    <n v="33"/>
    <x v="4"/>
    <x v="0"/>
    <d v="2014-02-06T00:00:00"/>
    <n v="42346"/>
    <x v="1"/>
    <n v="11"/>
    <x v="0"/>
    <x v="0"/>
    <x v="7"/>
  </r>
  <r>
    <n v="20"/>
    <s v="Jennifer"/>
    <s v="Smith"/>
    <x v="19"/>
    <x v="0"/>
    <n v="32"/>
    <x v="5"/>
    <x v="3"/>
    <d v="2015-10-28T00:00:00"/>
    <n v="53661"/>
    <x v="4"/>
    <n v="10"/>
    <x v="0"/>
    <x v="0"/>
    <x v="2"/>
  </r>
  <r>
    <n v="21"/>
    <s v="Sophia"/>
    <s v="Garcia"/>
    <x v="20"/>
    <x v="0"/>
    <n v="56"/>
    <x v="2"/>
    <x v="4"/>
    <d v="2022-07-08T00:00:00"/>
    <n v="53670"/>
    <x v="1"/>
    <n v="3"/>
    <x v="1"/>
    <x v="3"/>
    <x v="0"/>
  </r>
  <r>
    <n v="22"/>
    <s v="Patricia"/>
    <s v="Clark"/>
    <x v="21"/>
    <x v="0"/>
    <n v="25"/>
    <x v="1"/>
    <x v="0"/>
    <d v="2010-09-13T00:00:00"/>
    <n v="65033"/>
    <x v="3"/>
    <n v="15"/>
    <x v="1"/>
    <x v="2"/>
    <x v="5"/>
  </r>
  <r>
    <n v="23"/>
    <s v="Thomas"/>
    <s v="Martinez"/>
    <x v="22"/>
    <x v="1"/>
    <n v="41"/>
    <x v="3"/>
    <x v="4"/>
    <d v="2014-06-24T00:00:00"/>
    <n v="41012"/>
    <x v="1"/>
    <n v="11"/>
    <x v="0"/>
    <x v="1"/>
    <x v="7"/>
  </r>
  <r>
    <n v="24"/>
    <s v="John"/>
    <s v="Garcia"/>
    <x v="23"/>
    <x v="1"/>
    <n v="34"/>
    <x v="5"/>
    <x v="0"/>
    <d v="2016-03-13T00:00:00"/>
    <n v="50555"/>
    <x v="3"/>
    <n v="9"/>
    <x v="1"/>
    <x v="0"/>
    <x v="8"/>
  </r>
  <r>
    <n v="25"/>
    <s v="Elizabeth"/>
    <s v="Lewis"/>
    <x v="24"/>
    <x v="0"/>
    <n v="27"/>
    <x v="0"/>
    <x v="4"/>
    <d v="2020-10-10T00:00:00"/>
    <n v="60747"/>
    <x v="1"/>
    <n v="5"/>
    <x v="0"/>
    <x v="2"/>
    <x v="9"/>
  </r>
  <r>
    <n v="26"/>
    <s v="Robert"/>
    <s v="Jackson"/>
    <x v="25"/>
    <x v="1"/>
    <n v="31"/>
    <x v="4"/>
    <x v="3"/>
    <d v="2022-07-26T00:00:00"/>
    <n v="64616"/>
    <x v="3"/>
    <n v="3"/>
    <x v="1"/>
    <x v="0"/>
    <x v="0"/>
  </r>
  <r>
    <n v="27"/>
    <s v="Christopher"/>
    <s v="Lee"/>
    <x v="26"/>
    <x v="1"/>
    <n v="30"/>
    <x v="4"/>
    <x v="2"/>
    <d v="2010-07-19T00:00:00"/>
    <n v="43918"/>
    <x v="1"/>
    <n v="15"/>
    <x v="0"/>
    <x v="2"/>
    <x v="5"/>
  </r>
  <r>
    <n v="28"/>
    <s v="Jessica"/>
    <s v="Jackson"/>
    <x v="27"/>
    <x v="0"/>
    <n v="37"/>
    <x v="0"/>
    <x v="0"/>
    <d v="2020-05-09T00:00:00"/>
    <n v="29809"/>
    <x v="4"/>
    <n v="5"/>
    <x v="1"/>
    <x v="0"/>
    <x v="9"/>
  </r>
  <r>
    <n v="29"/>
    <s v="Steven"/>
    <s v="Martinez"/>
    <x v="28"/>
    <x v="1"/>
    <n v="50"/>
    <x v="4"/>
    <x v="3"/>
    <d v="2012-08-14T00:00:00"/>
    <n v="48104"/>
    <x v="1"/>
    <n v="13"/>
    <x v="0"/>
    <x v="1"/>
    <x v="10"/>
  </r>
  <r>
    <n v="30"/>
    <s v="Elizabeth"/>
    <s v="Thomas"/>
    <x v="29"/>
    <x v="0"/>
    <n v="33"/>
    <x v="3"/>
    <x v="1"/>
    <d v="2018-04-12T00:00:00"/>
    <n v="80499"/>
    <x v="0"/>
    <n v="7"/>
    <x v="0"/>
    <x v="0"/>
    <x v="11"/>
  </r>
  <r>
    <n v="31"/>
    <s v="Jessica"/>
    <s v="Clark"/>
    <x v="30"/>
    <x v="0"/>
    <n v="56"/>
    <x v="4"/>
    <x v="0"/>
    <d v="2022-08-05T00:00:00"/>
    <n v="58766"/>
    <x v="4"/>
    <n v="3"/>
    <x v="1"/>
    <x v="3"/>
    <x v="0"/>
  </r>
  <r>
    <n v="32"/>
    <s v="Sophia"/>
    <s v="Clark"/>
    <x v="31"/>
    <x v="0"/>
    <n v="31"/>
    <x v="3"/>
    <x v="0"/>
    <d v="2023-08-17T00:00:00"/>
    <n v="61522"/>
    <x v="4"/>
    <n v="2"/>
    <x v="0"/>
    <x v="0"/>
    <x v="12"/>
  </r>
  <r>
    <n v="33"/>
    <s v="Patricia"/>
    <s v="Johnson"/>
    <x v="32"/>
    <x v="0"/>
    <n v="36"/>
    <x v="1"/>
    <x v="2"/>
    <d v="2016-06-16T00:00:00"/>
    <n v="51759"/>
    <x v="1"/>
    <n v="9"/>
    <x v="0"/>
    <x v="0"/>
    <x v="8"/>
  </r>
  <r>
    <n v="34"/>
    <s v="Mary"/>
    <s v="Hall"/>
    <x v="33"/>
    <x v="0"/>
    <n v="33"/>
    <x v="4"/>
    <x v="2"/>
    <d v="2011-09-02T00:00:00"/>
    <n v="67200"/>
    <x v="0"/>
    <n v="14"/>
    <x v="1"/>
    <x v="0"/>
    <x v="4"/>
  </r>
  <r>
    <n v="35"/>
    <s v="Jessica"/>
    <s v="Taylor"/>
    <x v="34"/>
    <x v="0"/>
    <n v="33"/>
    <x v="0"/>
    <x v="2"/>
    <d v="2017-03-02T00:00:00"/>
    <n v="37301"/>
    <x v="4"/>
    <n v="8"/>
    <x v="1"/>
    <x v="0"/>
    <x v="13"/>
  </r>
  <r>
    <n v="36"/>
    <s v="John"/>
    <s v="Smith"/>
    <x v="35"/>
    <x v="1"/>
    <n v="53"/>
    <x v="0"/>
    <x v="1"/>
    <d v="2010-09-13T00:00:00"/>
    <n v="27118"/>
    <x v="0"/>
    <n v="15"/>
    <x v="0"/>
    <x v="3"/>
    <x v="5"/>
  </r>
  <r>
    <n v="37"/>
    <s v="Paul"/>
    <s v="Martin"/>
    <x v="36"/>
    <x v="1"/>
    <n v="30"/>
    <x v="1"/>
    <x v="3"/>
    <d v="2023-10-11T00:00:00"/>
    <n v="84025"/>
    <x v="1"/>
    <n v="2"/>
    <x v="0"/>
    <x v="2"/>
    <x v="12"/>
  </r>
  <r>
    <n v="38"/>
    <s v="Patricia"/>
    <s v="Anderson"/>
    <x v="37"/>
    <x v="0"/>
    <n v="24"/>
    <x v="3"/>
    <x v="2"/>
    <d v="2019-05-17T00:00:00"/>
    <n v="38513"/>
    <x v="0"/>
    <n v="6"/>
    <x v="0"/>
    <x v="2"/>
    <x v="14"/>
  </r>
  <r>
    <n v="39"/>
    <s v="Charles"/>
    <s v="Lee"/>
    <x v="38"/>
    <x v="1"/>
    <n v="56"/>
    <x v="0"/>
    <x v="1"/>
    <d v="2016-10-09T00:00:00"/>
    <n v="57355"/>
    <x v="0"/>
    <n v="9"/>
    <x v="1"/>
    <x v="3"/>
    <x v="8"/>
  </r>
  <r>
    <n v="40"/>
    <s v="Jessica"/>
    <s v="Thompson"/>
    <x v="39"/>
    <x v="0"/>
    <n v="32"/>
    <x v="0"/>
    <x v="1"/>
    <d v="2021-03-05T00:00:00"/>
    <n v="86294"/>
    <x v="0"/>
    <n v="4"/>
    <x v="1"/>
    <x v="0"/>
    <x v="1"/>
  </r>
  <r>
    <n v="41"/>
    <s v="Steven"/>
    <s v="Hall"/>
    <x v="40"/>
    <x v="1"/>
    <n v="27"/>
    <x v="2"/>
    <x v="3"/>
    <d v="2012-11-13T00:00:00"/>
    <n v="61034"/>
    <x v="3"/>
    <n v="13"/>
    <x v="1"/>
    <x v="2"/>
    <x v="10"/>
  </r>
  <r>
    <n v="42"/>
    <s v="John"/>
    <s v="Robinson"/>
    <x v="41"/>
    <x v="1"/>
    <n v="53"/>
    <x v="0"/>
    <x v="2"/>
    <d v="2021-11-20T00:00:00"/>
    <n v="30184"/>
    <x v="1"/>
    <n v="4"/>
    <x v="0"/>
    <x v="3"/>
    <x v="1"/>
  </r>
  <r>
    <n v="43"/>
    <s v="Sophia"/>
    <s v="Brown"/>
    <x v="42"/>
    <x v="0"/>
    <n v="33"/>
    <x v="1"/>
    <x v="3"/>
    <d v="2023-08-10T00:00:00"/>
    <n v="27645"/>
    <x v="4"/>
    <n v="2"/>
    <x v="1"/>
    <x v="0"/>
    <x v="12"/>
  </r>
  <r>
    <n v="44"/>
    <s v="Steven"/>
    <s v="Allen"/>
    <x v="43"/>
    <x v="1"/>
    <n v="45"/>
    <x v="1"/>
    <x v="1"/>
    <d v="2020-01-11T00:00:00"/>
    <n v="83101"/>
    <x v="0"/>
    <n v="6"/>
    <x v="0"/>
    <x v="1"/>
    <x v="9"/>
  </r>
  <r>
    <n v="45"/>
    <s v="Mark"/>
    <s v="Hall"/>
    <x v="44"/>
    <x v="1"/>
    <n v="32"/>
    <x v="5"/>
    <x v="0"/>
    <d v="2023-02-15T00:00:00"/>
    <n v="53826"/>
    <x v="1"/>
    <n v="2"/>
    <x v="0"/>
    <x v="0"/>
    <x v="12"/>
  </r>
  <r>
    <n v="46"/>
    <s v="Anna"/>
    <s v="Garcia"/>
    <x v="45"/>
    <x v="0"/>
    <n v="29"/>
    <x v="5"/>
    <x v="3"/>
    <d v="2013-11-28T00:00:00"/>
    <n v="28622"/>
    <x v="0"/>
    <n v="12"/>
    <x v="1"/>
    <x v="2"/>
    <x v="3"/>
  </r>
  <r>
    <n v="47"/>
    <s v="Thomas"/>
    <s v="Anderson"/>
    <x v="46"/>
    <x v="1"/>
    <n v="25"/>
    <x v="4"/>
    <x v="3"/>
    <d v="2010-04-05T00:00:00"/>
    <n v="25209"/>
    <x v="3"/>
    <n v="15"/>
    <x v="1"/>
    <x v="2"/>
    <x v="5"/>
  </r>
  <r>
    <n v="48"/>
    <s v="Anthony"/>
    <s v="Garcia"/>
    <x v="47"/>
    <x v="1"/>
    <n v="51"/>
    <x v="4"/>
    <x v="3"/>
    <d v="2013-11-09T00:00:00"/>
    <n v="31665"/>
    <x v="0"/>
    <n v="12"/>
    <x v="0"/>
    <x v="3"/>
    <x v="3"/>
  </r>
  <r>
    <n v="49"/>
    <s v="Steven"/>
    <s v="Harris"/>
    <x v="48"/>
    <x v="1"/>
    <n v="39"/>
    <x v="0"/>
    <x v="1"/>
    <d v="2013-10-02T00:00:00"/>
    <n v="77249"/>
    <x v="0"/>
    <n v="12"/>
    <x v="1"/>
    <x v="0"/>
    <x v="3"/>
  </r>
  <r>
    <n v="50"/>
    <s v="Thomas"/>
    <s v="White"/>
    <x v="49"/>
    <x v="1"/>
    <n v="30"/>
    <x v="3"/>
    <x v="3"/>
    <d v="2010-07-31T00:00:00"/>
    <n v="53669"/>
    <x v="0"/>
    <n v="15"/>
    <x v="1"/>
    <x v="2"/>
    <x v="5"/>
  </r>
  <r>
    <n v="51"/>
    <s v="Elizabeth"/>
    <s v="Thompson"/>
    <x v="50"/>
    <x v="0"/>
    <n v="36"/>
    <x v="0"/>
    <x v="4"/>
    <d v="2010-11-25T00:00:00"/>
    <n v="69299"/>
    <x v="4"/>
    <n v="15"/>
    <x v="1"/>
    <x v="0"/>
    <x v="5"/>
  </r>
  <r>
    <n v="52"/>
    <s v="Patricia"/>
    <s v="Allen"/>
    <x v="51"/>
    <x v="0"/>
    <n v="51"/>
    <x v="5"/>
    <x v="4"/>
    <d v="2023-08-01T00:00:00"/>
    <n v="59193"/>
    <x v="0"/>
    <n v="2"/>
    <x v="0"/>
    <x v="3"/>
    <x v="12"/>
  </r>
  <r>
    <n v="53"/>
    <s v="David"/>
    <s v="Brown"/>
    <x v="52"/>
    <x v="1"/>
    <n v="54"/>
    <x v="4"/>
    <x v="2"/>
    <d v="2014-07-30T00:00:00"/>
    <n v="77058"/>
    <x v="0"/>
    <n v="11"/>
    <x v="1"/>
    <x v="3"/>
    <x v="7"/>
  </r>
  <r>
    <n v="54"/>
    <s v="Jennifer"/>
    <s v="Clark"/>
    <x v="53"/>
    <x v="0"/>
    <n v="33"/>
    <x v="1"/>
    <x v="2"/>
    <d v="2020-01-11T00:00:00"/>
    <n v="79758"/>
    <x v="4"/>
    <n v="6"/>
    <x v="1"/>
    <x v="0"/>
    <x v="9"/>
  </r>
  <r>
    <n v="55"/>
    <s v="John"/>
    <s v="Martinez"/>
    <x v="54"/>
    <x v="1"/>
    <n v="24"/>
    <x v="1"/>
    <x v="2"/>
    <d v="2017-01-23T00:00:00"/>
    <n v="84453"/>
    <x v="0"/>
    <n v="9"/>
    <x v="0"/>
    <x v="2"/>
    <x v="13"/>
  </r>
  <r>
    <n v="56"/>
    <s v="Anthony"/>
    <s v="Walker"/>
    <x v="55"/>
    <x v="1"/>
    <n v="54"/>
    <x v="1"/>
    <x v="3"/>
    <d v="2019-02-19T00:00:00"/>
    <n v="29195"/>
    <x v="4"/>
    <n v="6"/>
    <x v="1"/>
    <x v="3"/>
    <x v="14"/>
  </r>
  <r>
    <n v="57"/>
    <s v="William"/>
    <s v="Thompson"/>
    <x v="56"/>
    <x v="1"/>
    <n v="29"/>
    <x v="0"/>
    <x v="3"/>
    <d v="2020-09-25T00:00:00"/>
    <n v="52583"/>
    <x v="3"/>
    <n v="5"/>
    <x v="0"/>
    <x v="2"/>
    <x v="9"/>
  </r>
  <r>
    <n v="58"/>
    <s v="Paul"/>
    <s v="White"/>
    <x v="57"/>
    <x v="1"/>
    <n v="47"/>
    <x v="4"/>
    <x v="0"/>
    <d v="2011-12-31T00:00:00"/>
    <n v="43719"/>
    <x v="4"/>
    <n v="14"/>
    <x v="0"/>
    <x v="1"/>
    <x v="4"/>
  </r>
  <r>
    <n v="59"/>
    <s v="Olivia"/>
    <s v="White"/>
    <x v="58"/>
    <x v="0"/>
    <n v="26"/>
    <x v="0"/>
    <x v="2"/>
    <d v="2017-01-19T00:00:00"/>
    <n v="68375"/>
    <x v="0"/>
    <n v="9"/>
    <x v="0"/>
    <x v="2"/>
    <x v="13"/>
  </r>
  <r>
    <n v="60"/>
    <s v="Barbara"/>
    <s v="Hall"/>
    <x v="59"/>
    <x v="0"/>
    <n v="32"/>
    <x v="3"/>
    <x v="0"/>
    <d v="2015-04-30T00:00:00"/>
    <n v="92155"/>
    <x v="1"/>
    <n v="10"/>
    <x v="0"/>
    <x v="0"/>
    <x v="2"/>
  </r>
  <r>
    <n v="61"/>
    <s v="Thomas"/>
    <s v="Allen"/>
    <x v="60"/>
    <x v="1"/>
    <n v="40"/>
    <x v="2"/>
    <x v="3"/>
    <d v="2021-05-28T00:00:00"/>
    <n v="57377"/>
    <x v="0"/>
    <n v="4"/>
    <x v="1"/>
    <x v="0"/>
    <x v="1"/>
  </r>
  <r>
    <n v="62"/>
    <s v="Linda"/>
    <s v="Johnson"/>
    <x v="61"/>
    <x v="0"/>
    <n v="46"/>
    <x v="5"/>
    <x v="4"/>
    <d v="2019-02-01T00:00:00"/>
    <n v="86324"/>
    <x v="1"/>
    <n v="7"/>
    <x v="0"/>
    <x v="1"/>
    <x v="14"/>
  </r>
  <r>
    <n v="63"/>
    <s v="Robert"/>
    <s v="Walker"/>
    <x v="62"/>
    <x v="1"/>
    <n v="57"/>
    <x v="3"/>
    <x v="3"/>
    <d v="2022-07-03T00:00:00"/>
    <n v="86153"/>
    <x v="1"/>
    <n v="3"/>
    <x v="0"/>
    <x v="3"/>
    <x v="0"/>
  </r>
  <r>
    <n v="64"/>
    <s v="Robert"/>
    <s v="Thompson"/>
    <x v="63"/>
    <x v="1"/>
    <n v="33"/>
    <x v="2"/>
    <x v="3"/>
    <d v="2015-01-09T00:00:00"/>
    <n v="57634"/>
    <x v="2"/>
    <n v="11"/>
    <x v="1"/>
    <x v="0"/>
    <x v="2"/>
  </r>
  <r>
    <n v="65"/>
    <s v="William"/>
    <s v="Taylor"/>
    <x v="64"/>
    <x v="1"/>
    <n v="24"/>
    <x v="0"/>
    <x v="0"/>
    <d v="2021-05-02T00:00:00"/>
    <n v="86227"/>
    <x v="4"/>
    <n v="4"/>
    <x v="0"/>
    <x v="2"/>
    <x v="1"/>
  </r>
  <r>
    <n v="66"/>
    <s v="Elizabeth"/>
    <s v="Martin"/>
    <x v="65"/>
    <x v="0"/>
    <n v="23"/>
    <x v="1"/>
    <x v="1"/>
    <d v="2020-11-08T00:00:00"/>
    <n v="84561"/>
    <x v="2"/>
    <n v="5"/>
    <x v="0"/>
    <x v="2"/>
    <x v="9"/>
  </r>
  <r>
    <n v="67"/>
    <s v="Olivia"/>
    <s v="Allen"/>
    <x v="66"/>
    <x v="0"/>
    <n v="50"/>
    <x v="2"/>
    <x v="4"/>
    <d v="2014-12-27T00:00:00"/>
    <n v="46305"/>
    <x v="4"/>
    <n v="11"/>
    <x v="1"/>
    <x v="1"/>
    <x v="7"/>
  </r>
  <r>
    <n v="68"/>
    <s v="William"/>
    <s v="Hall"/>
    <x v="67"/>
    <x v="1"/>
    <n v="47"/>
    <x v="2"/>
    <x v="0"/>
    <d v="2023-01-05T00:00:00"/>
    <n v="37926"/>
    <x v="2"/>
    <n v="3"/>
    <x v="0"/>
    <x v="1"/>
    <x v="12"/>
  </r>
  <r>
    <n v="69"/>
    <s v="Joseph"/>
    <s v="Clark"/>
    <x v="68"/>
    <x v="1"/>
    <n v="36"/>
    <x v="2"/>
    <x v="3"/>
    <d v="2016-10-16T00:00:00"/>
    <n v="38172"/>
    <x v="3"/>
    <n v="9"/>
    <x v="0"/>
    <x v="0"/>
    <x v="8"/>
  </r>
  <r>
    <n v="70"/>
    <s v="Elizabeth"/>
    <s v="Martinez"/>
    <x v="69"/>
    <x v="0"/>
    <n v="23"/>
    <x v="2"/>
    <x v="3"/>
    <d v="2019-04-16T00:00:00"/>
    <n v="38691"/>
    <x v="3"/>
    <n v="6"/>
    <x v="0"/>
    <x v="2"/>
    <x v="14"/>
  </r>
  <r>
    <n v="71"/>
    <s v="Thomas"/>
    <s v="Martin"/>
    <x v="70"/>
    <x v="1"/>
    <n v="54"/>
    <x v="1"/>
    <x v="2"/>
    <d v="2012-09-02T00:00:00"/>
    <n v="26901"/>
    <x v="0"/>
    <n v="13"/>
    <x v="0"/>
    <x v="3"/>
    <x v="10"/>
  </r>
  <r>
    <n v="72"/>
    <s v="Jennifer"/>
    <s v="Anderson"/>
    <x v="71"/>
    <x v="0"/>
    <n v="49"/>
    <x v="1"/>
    <x v="4"/>
    <d v="2014-07-17T00:00:00"/>
    <n v="64634"/>
    <x v="4"/>
    <n v="11"/>
    <x v="0"/>
    <x v="1"/>
    <x v="7"/>
  </r>
  <r>
    <n v="73"/>
    <s v="Emma"/>
    <s v="Lewis"/>
    <x v="72"/>
    <x v="0"/>
    <n v="37"/>
    <x v="3"/>
    <x v="4"/>
    <d v="2011-03-03T00:00:00"/>
    <n v="39677"/>
    <x v="1"/>
    <n v="14"/>
    <x v="0"/>
    <x v="0"/>
    <x v="4"/>
  </r>
  <r>
    <n v="74"/>
    <s v="Mary"/>
    <s v="Brown"/>
    <x v="73"/>
    <x v="0"/>
    <n v="44"/>
    <x v="4"/>
    <x v="4"/>
    <d v="2017-07-05T00:00:00"/>
    <n v="65115"/>
    <x v="3"/>
    <n v="8"/>
    <x v="1"/>
    <x v="1"/>
    <x v="13"/>
  </r>
  <r>
    <n v="75"/>
    <s v="Jennifer"/>
    <s v="Garcia"/>
    <x v="74"/>
    <x v="0"/>
    <n v="37"/>
    <x v="1"/>
    <x v="3"/>
    <d v="2018-06-20T00:00:00"/>
    <n v="72465"/>
    <x v="0"/>
    <n v="7"/>
    <x v="1"/>
    <x v="0"/>
    <x v="11"/>
  </r>
  <r>
    <n v="76"/>
    <s v="Mary"/>
    <s v="Walker"/>
    <x v="75"/>
    <x v="0"/>
    <n v="31"/>
    <x v="1"/>
    <x v="1"/>
    <d v="2021-09-04T00:00:00"/>
    <n v="44903"/>
    <x v="0"/>
    <n v="4"/>
    <x v="0"/>
    <x v="0"/>
    <x v="1"/>
  </r>
  <r>
    <n v="77"/>
    <s v="Mark"/>
    <s v="Garcia"/>
    <x v="76"/>
    <x v="1"/>
    <n v="60"/>
    <x v="1"/>
    <x v="2"/>
    <d v="2015-07-25T00:00:00"/>
    <n v="68954"/>
    <x v="4"/>
    <n v="10"/>
    <x v="0"/>
    <x v="3"/>
    <x v="2"/>
  </r>
  <r>
    <n v="78"/>
    <s v="Steven"/>
    <s v="Brown"/>
    <x v="77"/>
    <x v="1"/>
    <n v="38"/>
    <x v="5"/>
    <x v="3"/>
    <d v="2014-02-23T00:00:00"/>
    <n v="41810"/>
    <x v="2"/>
    <n v="11"/>
    <x v="0"/>
    <x v="0"/>
    <x v="7"/>
  </r>
  <r>
    <n v="79"/>
    <s v="Anna"/>
    <s v="Allen"/>
    <x v="78"/>
    <x v="0"/>
    <n v="22"/>
    <x v="2"/>
    <x v="1"/>
    <d v="2017-11-30T00:00:00"/>
    <n v="34490"/>
    <x v="0"/>
    <n v="8"/>
    <x v="0"/>
    <x v="2"/>
    <x v="13"/>
  </r>
  <r>
    <n v="80"/>
    <s v="Elizabeth"/>
    <s v="Johnson"/>
    <x v="79"/>
    <x v="0"/>
    <n v="29"/>
    <x v="0"/>
    <x v="3"/>
    <d v="2022-07-06T00:00:00"/>
    <n v="66680"/>
    <x v="0"/>
    <n v="3"/>
    <x v="1"/>
    <x v="2"/>
    <x v="0"/>
  </r>
  <r>
    <n v="81"/>
    <s v="Anthony"/>
    <s v="Smith"/>
    <x v="80"/>
    <x v="1"/>
    <n v="33"/>
    <x v="4"/>
    <x v="2"/>
    <d v="2019-12-30T00:00:00"/>
    <n v="67154"/>
    <x v="2"/>
    <n v="6"/>
    <x v="1"/>
    <x v="0"/>
    <x v="14"/>
  </r>
  <r>
    <n v="82"/>
    <s v="Susan"/>
    <s v="Brown"/>
    <x v="81"/>
    <x v="0"/>
    <n v="30"/>
    <x v="1"/>
    <x v="0"/>
    <d v="2015-02-21T00:00:00"/>
    <n v="37212"/>
    <x v="2"/>
    <n v="10"/>
    <x v="0"/>
    <x v="2"/>
    <x v="2"/>
  </r>
  <r>
    <n v="83"/>
    <s v="Michael"/>
    <s v="Harris"/>
    <x v="82"/>
    <x v="1"/>
    <n v="40"/>
    <x v="2"/>
    <x v="2"/>
    <d v="2024-04-28T00:00:00"/>
    <n v="25250"/>
    <x v="1"/>
    <n v="1"/>
    <x v="1"/>
    <x v="0"/>
    <x v="6"/>
  </r>
  <r>
    <n v="84"/>
    <s v="Paul"/>
    <s v="Smith"/>
    <x v="83"/>
    <x v="1"/>
    <n v="28"/>
    <x v="3"/>
    <x v="2"/>
    <d v="2017-08-10T00:00:00"/>
    <n v="40876"/>
    <x v="3"/>
    <n v="8"/>
    <x v="1"/>
    <x v="2"/>
    <x v="13"/>
  </r>
  <r>
    <n v="85"/>
    <s v="Daniel"/>
    <s v="Walker"/>
    <x v="84"/>
    <x v="1"/>
    <n v="48"/>
    <x v="3"/>
    <x v="4"/>
    <d v="2016-03-11T00:00:00"/>
    <n v="28811"/>
    <x v="3"/>
    <n v="9"/>
    <x v="1"/>
    <x v="1"/>
    <x v="8"/>
  </r>
  <r>
    <n v="86"/>
    <s v="Jessica"/>
    <s v="Lewis"/>
    <x v="85"/>
    <x v="0"/>
    <n v="59"/>
    <x v="0"/>
    <x v="4"/>
    <d v="2010-10-18T00:00:00"/>
    <n v="94552"/>
    <x v="2"/>
    <n v="15"/>
    <x v="1"/>
    <x v="3"/>
    <x v="5"/>
  </r>
  <r>
    <n v="87"/>
    <s v="Jennifer"/>
    <s v="Jackson"/>
    <x v="86"/>
    <x v="0"/>
    <n v="42"/>
    <x v="0"/>
    <x v="2"/>
    <d v="2022-01-27T00:00:00"/>
    <n v="84682"/>
    <x v="1"/>
    <n v="4"/>
    <x v="1"/>
    <x v="1"/>
    <x v="0"/>
  </r>
  <r>
    <n v="88"/>
    <s v="Elizabeth"/>
    <s v="Robinson"/>
    <x v="87"/>
    <x v="0"/>
    <n v="43"/>
    <x v="3"/>
    <x v="2"/>
    <d v="2010-04-30T00:00:00"/>
    <n v="88795"/>
    <x v="2"/>
    <n v="15"/>
    <x v="1"/>
    <x v="1"/>
    <x v="5"/>
  </r>
  <r>
    <n v="89"/>
    <s v="Sarah"/>
    <s v="Jackson"/>
    <x v="88"/>
    <x v="0"/>
    <n v="27"/>
    <x v="2"/>
    <x v="0"/>
    <d v="2016-08-11T00:00:00"/>
    <n v="27843"/>
    <x v="3"/>
    <n v="9"/>
    <x v="1"/>
    <x v="2"/>
    <x v="8"/>
  </r>
  <r>
    <n v="90"/>
    <s v="Robert"/>
    <s v="Harris"/>
    <x v="89"/>
    <x v="1"/>
    <n v="34"/>
    <x v="1"/>
    <x v="2"/>
    <d v="2016-10-14T00:00:00"/>
    <n v="35493"/>
    <x v="4"/>
    <n v="9"/>
    <x v="1"/>
    <x v="0"/>
    <x v="8"/>
  </r>
  <r>
    <n v="91"/>
    <s v="Steven"/>
    <s v="Anderson"/>
    <x v="90"/>
    <x v="1"/>
    <n v="41"/>
    <x v="3"/>
    <x v="1"/>
    <d v="2018-08-01T00:00:00"/>
    <n v="48732"/>
    <x v="2"/>
    <n v="7"/>
    <x v="0"/>
    <x v="1"/>
    <x v="11"/>
  </r>
  <r>
    <n v="92"/>
    <s v="Sophia"/>
    <s v="Walker"/>
    <x v="91"/>
    <x v="0"/>
    <n v="44"/>
    <x v="2"/>
    <x v="0"/>
    <d v="2023-11-03T00:00:00"/>
    <n v="70245"/>
    <x v="4"/>
    <n v="2"/>
    <x v="1"/>
    <x v="1"/>
    <x v="12"/>
  </r>
  <r>
    <n v="93"/>
    <s v="Thomas"/>
    <s v="Garcia"/>
    <x v="92"/>
    <x v="1"/>
    <n v="42"/>
    <x v="0"/>
    <x v="2"/>
    <d v="2011-01-27T00:00:00"/>
    <n v="52173"/>
    <x v="3"/>
    <n v="15"/>
    <x v="0"/>
    <x v="1"/>
    <x v="4"/>
  </r>
  <r>
    <n v="94"/>
    <s v="Jessica"/>
    <s v="Anderson"/>
    <x v="93"/>
    <x v="0"/>
    <n v="55"/>
    <x v="3"/>
    <x v="0"/>
    <d v="2019-05-27T00:00:00"/>
    <n v="35228"/>
    <x v="3"/>
    <n v="6"/>
    <x v="0"/>
    <x v="3"/>
    <x v="14"/>
  </r>
  <r>
    <n v="95"/>
    <s v="Mark"/>
    <s v="Johnson"/>
    <x v="94"/>
    <x v="1"/>
    <n v="35"/>
    <x v="1"/>
    <x v="2"/>
    <d v="2016-08-31T00:00:00"/>
    <n v="91688"/>
    <x v="0"/>
    <n v="9"/>
    <x v="0"/>
    <x v="0"/>
    <x v="8"/>
  </r>
  <r>
    <n v="96"/>
    <s v="David"/>
    <s v="White"/>
    <x v="95"/>
    <x v="1"/>
    <n v="56"/>
    <x v="0"/>
    <x v="1"/>
    <d v="2022-09-05T00:00:00"/>
    <n v="38590"/>
    <x v="1"/>
    <n v="3"/>
    <x v="0"/>
    <x v="3"/>
    <x v="0"/>
  </r>
  <r>
    <n v="97"/>
    <s v="Susan"/>
    <s v="Clark"/>
    <x v="96"/>
    <x v="0"/>
    <n v="47"/>
    <x v="5"/>
    <x v="2"/>
    <d v="2023-05-19T00:00:00"/>
    <n v="71038"/>
    <x v="1"/>
    <n v="2"/>
    <x v="1"/>
    <x v="1"/>
    <x v="12"/>
  </r>
  <r>
    <n v="98"/>
    <s v="Emma"/>
    <s v="Martin"/>
    <x v="97"/>
    <x v="0"/>
    <n v="32"/>
    <x v="3"/>
    <x v="1"/>
    <d v="2023-01-09T00:00:00"/>
    <n v="80028"/>
    <x v="2"/>
    <n v="3"/>
    <x v="0"/>
    <x v="0"/>
    <x v="12"/>
  </r>
  <r>
    <n v="99"/>
    <s v="Sophia"/>
    <s v="Allen"/>
    <x v="98"/>
    <x v="0"/>
    <n v="36"/>
    <x v="5"/>
    <x v="2"/>
    <d v="2018-02-08T00:00:00"/>
    <n v="38711"/>
    <x v="2"/>
    <n v="7"/>
    <x v="0"/>
    <x v="0"/>
    <x v="11"/>
  </r>
  <r>
    <n v="100"/>
    <s v="Mary"/>
    <s v="Smith"/>
    <x v="99"/>
    <x v="0"/>
    <n v="24"/>
    <x v="1"/>
    <x v="4"/>
    <d v="2011-03-10T00:00:00"/>
    <n v="50320"/>
    <x v="1"/>
    <n v="14"/>
    <x v="0"/>
    <x v="2"/>
    <x v="4"/>
  </r>
  <r>
    <n v="101"/>
    <s v="John"/>
    <s v="Walker"/>
    <x v="100"/>
    <x v="1"/>
    <n v="35"/>
    <x v="3"/>
    <x v="0"/>
    <d v="2019-12-31T00:00:00"/>
    <n v="69835"/>
    <x v="0"/>
    <n v="6"/>
    <x v="1"/>
    <x v="0"/>
    <x v="14"/>
  </r>
  <r>
    <n v="102"/>
    <s v="Joseph"/>
    <s v="Taylor"/>
    <x v="101"/>
    <x v="1"/>
    <n v="30"/>
    <x v="3"/>
    <x v="3"/>
    <d v="2024-11-28T00:00:00"/>
    <n v="34657"/>
    <x v="1"/>
    <n v="1"/>
    <x v="1"/>
    <x v="2"/>
    <x v="6"/>
  </r>
  <r>
    <n v="103"/>
    <s v="Thomas"/>
    <s v="Johnson"/>
    <x v="102"/>
    <x v="1"/>
    <n v="51"/>
    <x v="0"/>
    <x v="1"/>
    <d v="2022-06-03T00:00:00"/>
    <n v="91928"/>
    <x v="2"/>
    <n v="3"/>
    <x v="1"/>
    <x v="3"/>
    <x v="0"/>
  </r>
  <r>
    <n v="104"/>
    <s v="Jessica"/>
    <s v="Martin"/>
    <x v="103"/>
    <x v="0"/>
    <n v="28"/>
    <x v="0"/>
    <x v="0"/>
    <d v="2010-12-21T00:00:00"/>
    <n v="77226"/>
    <x v="0"/>
    <n v="15"/>
    <x v="0"/>
    <x v="2"/>
    <x v="5"/>
  </r>
  <r>
    <n v="105"/>
    <s v="Joseph"/>
    <s v="Harris"/>
    <x v="104"/>
    <x v="1"/>
    <n v="52"/>
    <x v="0"/>
    <x v="2"/>
    <d v="2016-04-07T00:00:00"/>
    <n v="66523"/>
    <x v="0"/>
    <n v="9"/>
    <x v="0"/>
    <x v="3"/>
    <x v="8"/>
  </r>
  <r>
    <n v="106"/>
    <s v="Anthony"/>
    <s v="Allen"/>
    <x v="105"/>
    <x v="1"/>
    <n v="56"/>
    <x v="3"/>
    <x v="3"/>
    <d v="2021-05-30T00:00:00"/>
    <n v="55913"/>
    <x v="2"/>
    <n v="4"/>
    <x v="0"/>
    <x v="3"/>
    <x v="1"/>
  </r>
  <r>
    <n v="107"/>
    <s v="Emma"/>
    <s v="Jackson"/>
    <x v="106"/>
    <x v="0"/>
    <n v="46"/>
    <x v="1"/>
    <x v="4"/>
    <d v="2014-12-29T00:00:00"/>
    <n v="48091"/>
    <x v="0"/>
    <n v="11"/>
    <x v="1"/>
    <x v="1"/>
    <x v="7"/>
  </r>
  <r>
    <n v="108"/>
    <s v="James"/>
    <s v="Lewis"/>
    <x v="107"/>
    <x v="1"/>
    <n v="43"/>
    <x v="1"/>
    <x v="4"/>
    <d v="2022-07-27T00:00:00"/>
    <n v="72742"/>
    <x v="1"/>
    <n v="3"/>
    <x v="0"/>
    <x v="1"/>
    <x v="0"/>
  </r>
  <r>
    <n v="109"/>
    <s v="Mark"/>
    <s v="Robinson"/>
    <x v="108"/>
    <x v="1"/>
    <n v="35"/>
    <x v="1"/>
    <x v="3"/>
    <d v="2014-03-02T00:00:00"/>
    <n v="59014"/>
    <x v="0"/>
    <n v="11"/>
    <x v="1"/>
    <x v="0"/>
    <x v="7"/>
  </r>
  <r>
    <n v="110"/>
    <s v="John"/>
    <s v="Allen"/>
    <x v="109"/>
    <x v="1"/>
    <n v="46"/>
    <x v="5"/>
    <x v="2"/>
    <d v="2012-11-15T00:00:00"/>
    <n v="79623"/>
    <x v="1"/>
    <n v="13"/>
    <x v="1"/>
    <x v="1"/>
    <x v="10"/>
  </r>
  <r>
    <n v="111"/>
    <s v="Barbara"/>
    <s v="Anderson"/>
    <x v="110"/>
    <x v="0"/>
    <n v="47"/>
    <x v="5"/>
    <x v="0"/>
    <d v="2020-04-20T00:00:00"/>
    <n v="83548"/>
    <x v="2"/>
    <n v="5"/>
    <x v="0"/>
    <x v="1"/>
    <x v="9"/>
  </r>
  <r>
    <n v="112"/>
    <s v="Elizabeth"/>
    <s v="Smith"/>
    <x v="111"/>
    <x v="0"/>
    <n v="60"/>
    <x v="1"/>
    <x v="2"/>
    <d v="2013-12-27T00:00:00"/>
    <n v="55592"/>
    <x v="2"/>
    <n v="12"/>
    <x v="0"/>
    <x v="3"/>
    <x v="3"/>
  </r>
  <r>
    <n v="113"/>
    <s v="Robert"/>
    <s v="Martin"/>
    <x v="112"/>
    <x v="1"/>
    <n v="44"/>
    <x v="2"/>
    <x v="0"/>
    <d v="2022-06-15T00:00:00"/>
    <n v="44859"/>
    <x v="0"/>
    <n v="3"/>
    <x v="0"/>
    <x v="1"/>
    <x v="0"/>
  </r>
  <r>
    <n v="114"/>
    <s v="Christopher"/>
    <s v="Harris"/>
    <x v="113"/>
    <x v="1"/>
    <n v="35"/>
    <x v="4"/>
    <x v="4"/>
    <d v="2010-02-14T00:00:00"/>
    <n v="38909"/>
    <x v="4"/>
    <n v="15"/>
    <x v="1"/>
    <x v="0"/>
    <x v="5"/>
  </r>
  <r>
    <n v="115"/>
    <s v="James"/>
    <s v="White"/>
    <x v="114"/>
    <x v="1"/>
    <n v="37"/>
    <x v="1"/>
    <x v="2"/>
    <d v="2023-10-02T00:00:00"/>
    <n v="83604"/>
    <x v="0"/>
    <n v="2"/>
    <x v="1"/>
    <x v="0"/>
    <x v="12"/>
  </r>
  <r>
    <n v="116"/>
    <s v="William"/>
    <s v="Lewis"/>
    <x v="115"/>
    <x v="1"/>
    <n v="48"/>
    <x v="3"/>
    <x v="4"/>
    <d v="2014-03-23T00:00:00"/>
    <n v="60384"/>
    <x v="2"/>
    <n v="11"/>
    <x v="1"/>
    <x v="1"/>
    <x v="7"/>
  </r>
  <r>
    <n v="117"/>
    <s v="David"/>
    <s v="Garcia"/>
    <x v="116"/>
    <x v="1"/>
    <n v="22"/>
    <x v="2"/>
    <x v="3"/>
    <d v="2022-08-06T00:00:00"/>
    <n v="25291"/>
    <x v="1"/>
    <n v="3"/>
    <x v="0"/>
    <x v="2"/>
    <x v="0"/>
  </r>
  <r>
    <n v="118"/>
    <s v="James"/>
    <s v="Lee"/>
    <x v="117"/>
    <x v="1"/>
    <n v="57"/>
    <x v="1"/>
    <x v="0"/>
    <d v="2017-06-17T00:00:00"/>
    <n v="40100"/>
    <x v="4"/>
    <n v="8"/>
    <x v="0"/>
    <x v="3"/>
    <x v="13"/>
  </r>
  <r>
    <n v="119"/>
    <s v="Jessica"/>
    <s v="Smith"/>
    <x v="118"/>
    <x v="0"/>
    <n v="28"/>
    <x v="4"/>
    <x v="3"/>
    <d v="2017-02-19T00:00:00"/>
    <n v="84876"/>
    <x v="4"/>
    <n v="8"/>
    <x v="1"/>
    <x v="2"/>
    <x v="13"/>
  </r>
  <r>
    <n v="120"/>
    <s v="John"/>
    <s v="Johnson"/>
    <x v="119"/>
    <x v="1"/>
    <n v="58"/>
    <x v="3"/>
    <x v="1"/>
    <d v="2012-11-16T00:00:00"/>
    <n v="56846"/>
    <x v="0"/>
    <n v="13"/>
    <x v="1"/>
    <x v="3"/>
    <x v="10"/>
  </r>
  <r>
    <n v="121"/>
    <s v="William"/>
    <s v="Johnson"/>
    <x v="120"/>
    <x v="1"/>
    <n v="27"/>
    <x v="1"/>
    <x v="2"/>
    <d v="2024-03-03T00:00:00"/>
    <n v="78232"/>
    <x v="3"/>
    <n v="1"/>
    <x v="1"/>
    <x v="2"/>
    <x v="6"/>
  </r>
  <r>
    <n v="122"/>
    <s v="Mark"/>
    <s v="Martin"/>
    <x v="121"/>
    <x v="1"/>
    <n v="58"/>
    <x v="4"/>
    <x v="1"/>
    <d v="2019-09-10T00:00:00"/>
    <n v="77741"/>
    <x v="2"/>
    <n v="6"/>
    <x v="1"/>
    <x v="3"/>
    <x v="14"/>
  </r>
  <r>
    <n v="123"/>
    <s v="Sophia"/>
    <s v="Smith"/>
    <x v="122"/>
    <x v="0"/>
    <n v="32"/>
    <x v="0"/>
    <x v="0"/>
    <d v="2023-06-09T00:00:00"/>
    <n v="27457"/>
    <x v="0"/>
    <n v="2"/>
    <x v="0"/>
    <x v="0"/>
    <x v="12"/>
  </r>
  <r>
    <n v="124"/>
    <s v="Joseph"/>
    <s v="Smith"/>
    <x v="123"/>
    <x v="1"/>
    <n v="60"/>
    <x v="4"/>
    <x v="0"/>
    <d v="2020-10-03T00:00:00"/>
    <n v="38506"/>
    <x v="2"/>
    <n v="5"/>
    <x v="1"/>
    <x v="3"/>
    <x v="9"/>
  </r>
  <r>
    <n v="125"/>
    <s v="William"/>
    <s v="Allen"/>
    <x v="124"/>
    <x v="1"/>
    <n v="59"/>
    <x v="0"/>
    <x v="2"/>
    <d v="2023-05-14T00:00:00"/>
    <n v="37934"/>
    <x v="3"/>
    <n v="2"/>
    <x v="0"/>
    <x v="3"/>
    <x v="12"/>
  </r>
  <r>
    <n v="126"/>
    <s v="Susan"/>
    <s v="Garcia"/>
    <x v="125"/>
    <x v="0"/>
    <n v="48"/>
    <x v="4"/>
    <x v="4"/>
    <d v="2021-06-26T00:00:00"/>
    <n v="26353"/>
    <x v="0"/>
    <n v="4"/>
    <x v="0"/>
    <x v="1"/>
    <x v="1"/>
  </r>
  <r>
    <n v="127"/>
    <s v="Daniel"/>
    <s v="Lewis"/>
    <x v="126"/>
    <x v="1"/>
    <n v="34"/>
    <x v="5"/>
    <x v="0"/>
    <d v="2019-04-09T00:00:00"/>
    <n v="64080"/>
    <x v="3"/>
    <n v="6"/>
    <x v="0"/>
    <x v="0"/>
    <x v="14"/>
  </r>
  <r>
    <n v="128"/>
    <s v="Charles"/>
    <s v="Jackson"/>
    <x v="127"/>
    <x v="1"/>
    <n v="59"/>
    <x v="1"/>
    <x v="2"/>
    <d v="2021-10-11T00:00:00"/>
    <n v="67370"/>
    <x v="0"/>
    <n v="4"/>
    <x v="1"/>
    <x v="3"/>
    <x v="1"/>
  </r>
  <r>
    <n v="129"/>
    <s v="Paul"/>
    <s v="Lee"/>
    <x v="128"/>
    <x v="1"/>
    <n v="34"/>
    <x v="3"/>
    <x v="1"/>
    <d v="2020-09-05T00:00:00"/>
    <n v="86069"/>
    <x v="0"/>
    <n v="5"/>
    <x v="0"/>
    <x v="0"/>
    <x v="9"/>
  </r>
  <r>
    <n v="130"/>
    <s v="Joseph"/>
    <s v="Thomas"/>
    <x v="129"/>
    <x v="1"/>
    <n v="35"/>
    <x v="4"/>
    <x v="0"/>
    <d v="2011-04-22T00:00:00"/>
    <n v="35806"/>
    <x v="4"/>
    <n v="14"/>
    <x v="1"/>
    <x v="0"/>
    <x v="4"/>
  </r>
  <r>
    <n v="131"/>
    <s v="Daniel"/>
    <s v="Garcia"/>
    <x v="130"/>
    <x v="1"/>
    <n v="45"/>
    <x v="2"/>
    <x v="3"/>
    <d v="2016-03-26T00:00:00"/>
    <n v="65693"/>
    <x v="0"/>
    <n v="9"/>
    <x v="1"/>
    <x v="1"/>
    <x v="8"/>
  </r>
  <r>
    <n v="132"/>
    <s v="Karen"/>
    <s v="Walker"/>
    <x v="131"/>
    <x v="0"/>
    <n v="29"/>
    <x v="1"/>
    <x v="3"/>
    <d v="2015-03-10T00:00:00"/>
    <n v="83727"/>
    <x v="0"/>
    <n v="10"/>
    <x v="0"/>
    <x v="2"/>
    <x v="2"/>
  </r>
  <r>
    <n v="133"/>
    <s v="Linda"/>
    <s v="Hall"/>
    <x v="132"/>
    <x v="0"/>
    <n v="26"/>
    <x v="2"/>
    <x v="2"/>
    <d v="2017-11-09T00:00:00"/>
    <n v="88032"/>
    <x v="3"/>
    <n v="8"/>
    <x v="0"/>
    <x v="2"/>
    <x v="13"/>
  </r>
  <r>
    <n v="134"/>
    <s v="Jennifer"/>
    <s v="Lewis"/>
    <x v="133"/>
    <x v="0"/>
    <n v="29"/>
    <x v="4"/>
    <x v="3"/>
    <d v="2013-01-15T00:00:00"/>
    <n v="52938"/>
    <x v="3"/>
    <n v="13"/>
    <x v="1"/>
    <x v="2"/>
    <x v="3"/>
  </r>
  <r>
    <n v="135"/>
    <s v="Paul"/>
    <s v="Robinson"/>
    <x v="134"/>
    <x v="1"/>
    <n v="44"/>
    <x v="0"/>
    <x v="2"/>
    <d v="2024-03-03T00:00:00"/>
    <n v="75119"/>
    <x v="0"/>
    <n v="1"/>
    <x v="1"/>
    <x v="1"/>
    <x v="6"/>
  </r>
  <r>
    <n v="136"/>
    <s v="Anna"/>
    <s v="Hall"/>
    <x v="135"/>
    <x v="0"/>
    <n v="51"/>
    <x v="4"/>
    <x v="3"/>
    <d v="2011-07-31T00:00:00"/>
    <n v="86699"/>
    <x v="1"/>
    <n v="14"/>
    <x v="1"/>
    <x v="3"/>
    <x v="4"/>
  </r>
  <r>
    <n v="137"/>
    <s v="Karen"/>
    <s v="Smith"/>
    <x v="136"/>
    <x v="0"/>
    <n v="31"/>
    <x v="4"/>
    <x v="4"/>
    <d v="2016-05-06T00:00:00"/>
    <n v="49465"/>
    <x v="2"/>
    <n v="9"/>
    <x v="0"/>
    <x v="0"/>
    <x v="8"/>
  </r>
  <r>
    <n v="138"/>
    <s v="Thomas"/>
    <s v="Thompson"/>
    <x v="137"/>
    <x v="1"/>
    <n v="48"/>
    <x v="0"/>
    <x v="3"/>
    <d v="2024-06-05T00:00:00"/>
    <n v="44220"/>
    <x v="0"/>
    <n v="1"/>
    <x v="0"/>
    <x v="1"/>
    <x v="6"/>
  </r>
  <r>
    <n v="139"/>
    <s v="Patricia"/>
    <s v="Lee"/>
    <x v="138"/>
    <x v="0"/>
    <n v="54"/>
    <x v="2"/>
    <x v="2"/>
    <d v="2014-01-23T00:00:00"/>
    <n v="35206"/>
    <x v="4"/>
    <n v="12"/>
    <x v="1"/>
    <x v="3"/>
    <x v="7"/>
  </r>
  <r>
    <n v="140"/>
    <s v="Joseph"/>
    <s v="Johnson"/>
    <x v="139"/>
    <x v="1"/>
    <n v="27"/>
    <x v="0"/>
    <x v="2"/>
    <d v="2012-12-05T00:00:00"/>
    <n v="90399"/>
    <x v="1"/>
    <n v="13"/>
    <x v="0"/>
    <x v="2"/>
    <x v="10"/>
  </r>
  <r>
    <n v="141"/>
    <s v="Sarah"/>
    <s v="Martin"/>
    <x v="140"/>
    <x v="0"/>
    <n v="39"/>
    <x v="2"/>
    <x v="3"/>
    <d v="2023-12-22T00:00:00"/>
    <n v="90789"/>
    <x v="2"/>
    <n v="2"/>
    <x v="0"/>
    <x v="0"/>
    <x v="12"/>
  </r>
  <r>
    <n v="142"/>
    <s v="Christopher"/>
    <s v="Walker"/>
    <x v="141"/>
    <x v="1"/>
    <n v="35"/>
    <x v="1"/>
    <x v="3"/>
    <d v="2011-11-07T00:00:00"/>
    <n v="58070"/>
    <x v="4"/>
    <n v="14"/>
    <x v="0"/>
    <x v="0"/>
    <x v="4"/>
  </r>
  <r>
    <n v="143"/>
    <s v="Emma"/>
    <s v="Clark"/>
    <x v="142"/>
    <x v="0"/>
    <n v="29"/>
    <x v="5"/>
    <x v="0"/>
    <d v="2010-05-24T00:00:00"/>
    <n v="39230"/>
    <x v="1"/>
    <n v="15"/>
    <x v="1"/>
    <x v="2"/>
    <x v="5"/>
  </r>
  <r>
    <n v="144"/>
    <s v="Mark"/>
    <s v="Walker"/>
    <x v="143"/>
    <x v="1"/>
    <n v="55"/>
    <x v="2"/>
    <x v="3"/>
    <d v="2014-12-28T00:00:00"/>
    <n v="76768"/>
    <x v="0"/>
    <n v="11"/>
    <x v="0"/>
    <x v="3"/>
    <x v="7"/>
  </r>
  <r>
    <n v="145"/>
    <s v="Sarah"/>
    <s v="Walker"/>
    <x v="144"/>
    <x v="0"/>
    <n v="30"/>
    <x v="4"/>
    <x v="1"/>
    <d v="2010-03-16T00:00:00"/>
    <n v="58565"/>
    <x v="4"/>
    <n v="15"/>
    <x v="0"/>
    <x v="2"/>
    <x v="5"/>
  </r>
  <r>
    <n v="146"/>
    <s v="Barbara"/>
    <s v="White"/>
    <x v="145"/>
    <x v="0"/>
    <n v="56"/>
    <x v="4"/>
    <x v="4"/>
    <d v="2023-12-27T00:00:00"/>
    <n v="79281"/>
    <x v="0"/>
    <n v="2"/>
    <x v="0"/>
    <x v="3"/>
    <x v="12"/>
  </r>
  <r>
    <n v="147"/>
    <s v="Susan"/>
    <s v="Taylor"/>
    <x v="146"/>
    <x v="0"/>
    <n v="55"/>
    <x v="3"/>
    <x v="1"/>
    <d v="2013-12-11T00:00:00"/>
    <n v="63899"/>
    <x v="4"/>
    <n v="12"/>
    <x v="1"/>
    <x v="3"/>
    <x v="3"/>
  </r>
  <r>
    <n v="148"/>
    <s v="Joseph"/>
    <s v="Allen"/>
    <x v="147"/>
    <x v="1"/>
    <n v="56"/>
    <x v="2"/>
    <x v="2"/>
    <d v="2017-05-13T00:00:00"/>
    <n v="32400"/>
    <x v="4"/>
    <n v="8"/>
    <x v="0"/>
    <x v="3"/>
    <x v="13"/>
  </r>
  <r>
    <n v="149"/>
    <s v="Linda"/>
    <s v="Anderson"/>
    <x v="148"/>
    <x v="0"/>
    <n v="25"/>
    <x v="0"/>
    <x v="0"/>
    <d v="2020-12-07T00:00:00"/>
    <n v="83505"/>
    <x v="2"/>
    <n v="5"/>
    <x v="1"/>
    <x v="2"/>
    <x v="9"/>
  </r>
  <r>
    <n v="150"/>
    <s v="Charles"/>
    <s v="Anderson"/>
    <x v="149"/>
    <x v="1"/>
    <n v="27"/>
    <x v="3"/>
    <x v="1"/>
    <d v="2023-05-01T00:00:00"/>
    <n v="80861"/>
    <x v="0"/>
    <n v="2"/>
    <x v="0"/>
    <x v="2"/>
    <x v="12"/>
  </r>
  <r>
    <n v="151"/>
    <s v="Susan"/>
    <s v="Allen"/>
    <x v="150"/>
    <x v="0"/>
    <n v="40"/>
    <x v="0"/>
    <x v="2"/>
    <d v="2015-04-18T00:00:00"/>
    <n v="62430"/>
    <x v="1"/>
    <n v="10"/>
    <x v="1"/>
    <x v="0"/>
    <x v="2"/>
  </r>
  <r>
    <n v="152"/>
    <s v="John"/>
    <s v="Hall"/>
    <x v="151"/>
    <x v="1"/>
    <n v="46"/>
    <x v="0"/>
    <x v="4"/>
    <d v="2015-02-22T00:00:00"/>
    <n v="27072"/>
    <x v="2"/>
    <n v="10"/>
    <x v="1"/>
    <x v="1"/>
    <x v="2"/>
  </r>
  <r>
    <n v="153"/>
    <s v="Karen"/>
    <s v="Martinez"/>
    <x v="152"/>
    <x v="0"/>
    <n v="37"/>
    <x v="1"/>
    <x v="1"/>
    <d v="2013-06-25T00:00:00"/>
    <n v="49871"/>
    <x v="0"/>
    <n v="12"/>
    <x v="1"/>
    <x v="0"/>
    <x v="3"/>
  </r>
  <r>
    <n v="154"/>
    <s v="Mark"/>
    <s v="Anderson"/>
    <x v="153"/>
    <x v="1"/>
    <n v="24"/>
    <x v="2"/>
    <x v="0"/>
    <d v="2012-07-11T00:00:00"/>
    <n v="71224"/>
    <x v="3"/>
    <n v="13"/>
    <x v="1"/>
    <x v="2"/>
    <x v="10"/>
  </r>
  <r>
    <n v="155"/>
    <s v="Steven"/>
    <s v="Thompson"/>
    <x v="154"/>
    <x v="1"/>
    <n v="57"/>
    <x v="2"/>
    <x v="4"/>
    <d v="2019-12-18T00:00:00"/>
    <n v="32306"/>
    <x v="3"/>
    <n v="6"/>
    <x v="0"/>
    <x v="3"/>
    <x v="14"/>
  </r>
  <r>
    <n v="156"/>
    <s v="Anna"/>
    <s v="White"/>
    <x v="155"/>
    <x v="0"/>
    <n v="27"/>
    <x v="4"/>
    <x v="3"/>
    <d v="2021-04-30T00:00:00"/>
    <n v="88763"/>
    <x v="3"/>
    <n v="4"/>
    <x v="1"/>
    <x v="2"/>
    <x v="1"/>
  </r>
  <r>
    <n v="157"/>
    <s v="Emily"/>
    <s v="Clark"/>
    <x v="156"/>
    <x v="0"/>
    <n v="34"/>
    <x v="3"/>
    <x v="0"/>
    <d v="2018-06-18T00:00:00"/>
    <n v="32962"/>
    <x v="2"/>
    <n v="7"/>
    <x v="1"/>
    <x v="0"/>
    <x v="11"/>
  </r>
  <r>
    <n v="158"/>
    <s v="Olivia"/>
    <s v="Harris"/>
    <x v="157"/>
    <x v="0"/>
    <n v="34"/>
    <x v="5"/>
    <x v="3"/>
    <d v="2014-11-18T00:00:00"/>
    <n v="25456"/>
    <x v="3"/>
    <n v="11"/>
    <x v="1"/>
    <x v="0"/>
    <x v="7"/>
  </r>
  <r>
    <n v="159"/>
    <s v="Karen"/>
    <s v="Robinson"/>
    <x v="158"/>
    <x v="0"/>
    <n v="41"/>
    <x v="0"/>
    <x v="1"/>
    <d v="2021-01-19T00:00:00"/>
    <n v="27798"/>
    <x v="4"/>
    <n v="5"/>
    <x v="1"/>
    <x v="1"/>
    <x v="1"/>
  </r>
  <r>
    <n v="160"/>
    <s v="Paul"/>
    <s v="Lewis"/>
    <x v="159"/>
    <x v="1"/>
    <n v="45"/>
    <x v="5"/>
    <x v="4"/>
    <d v="2012-03-16T00:00:00"/>
    <n v="50914"/>
    <x v="3"/>
    <n v="13"/>
    <x v="1"/>
    <x v="1"/>
    <x v="10"/>
  </r>
  <r>
    <n v="161"/>
    <s v="Patricia"/>
    <s v="Hall"/>
    <x v="160"/>
    <x v="0"/>
    <n v="51"/>
    <x v="1"/>
    <x v="1"/>
    <d v="2013-05-24T00:00:00"/>
    <n v="33605"/>
    <x v="0"/>
    <n v="12"/>
    <x v="1"/>
    <x v="3"/>
    <x v="3"/>
  </r>
  <r>
    <n v="162"/>
    <s v="Paul"/>
    <s v="Taylor"/>
    <x v="161"/>
    <x v="1"/>
    <n v="28"/>
    <x v="0"/>
    <x v="0"/>
    <d v="2010-12-24T00:00:00"/>
    <n v="37030"/>
    <x v="0"/>
    <n v="15"/>
    <x v="0"/>
    <x v="2"/>
    <x v="5"/>
  </r>
  <r>
    <n v="163"/>
    <s v="Jennifer"/>
    <s v="Robinson"/>
    <x v="162"/>
    <x v="0"/>
    <n v="33"/>
    <x v="2"/>
    <x v="4"/>
    <d v="2016-02-08T00:00:00"/>
    <n v="71898"/>
    <x v="4"/>
    <n v="9"/>
    <x v="0"/>
    <x v="0"/>
    <x v="8"/>
  </r>
  <r>
    <n v="164"/>
    <s v="Christopher"/>
    <s v="Martinez"/>
    <x v="163"/>
    <x v="1"/>
    <n v="30"/>
    <x v="1"/>
    <x v="3"/>
    <d v="2012-04-23T00:00:00"/>
    <n v="32845"/>
    <x v="2"/>
    <n v="13"/>
    <x v="0"/>
    <x v="2"/>
    <x v="10"/>
  </r>
  <r>
    <n v="165"/>
    <s v="Thomas"/>
    <s v="Brown"/>
    <x v="164"/>
    <x v="1"/>
    <n v="51"/>
    <x v="0"/>
    <x v="4"/>
    <d v="2024-01-30T00:00:00"/>
    <n v="85530"/>
    <x v="0"/>
    <n v="2"/>
    <x v="0"/>
    <x v="3"/>
    <x v="6"/>
  </r>
  <r>
    <n v="166"/>
    <s v="Emma"/>
    <s v="Garcia"/>
    <x v="165"/>
    <x v="0"/>
    <n v="40"/>
    <x v="5"/>
    <x v="2"/>
    <d v="2017-02-24T00:00:00"/>
    <n v="53310"/>
    <x v="3"/>
    <n v="8"/>
    <x v="0"/>
    <x v="0"/>
    <x v="13"/>
  </r>
  <r>
    <n v="167"/>
    <s v="James"/>
    <s v="Taylor"/>
    <x v="166"/>
    <x v="1"/>
    <n v="30"/>
    <x v="1"/>
    <x v="0"/>
    <d v="2021-07-13T00:00:00"/>
    <n v="27011"/>
    <x v="0"/>
    <n v="4"/>
    <x v="1"/>
    <x v="2"/>
    <x v="1"/>
  </r>
  <r>
    <n v="168"/>
    <s v="Mary"/>
    <s v="Harris"/>
    <x v="167"/>
    <x v="0"/>
    <n v="53"/>
    <x v="4"/>
    <x v="3"/>
    <d v="2019-10-21T00:00:00"/>
    <n v="78575"/>
    <x v="2"/>
    <n v="6"/>
    <x v="0"/>
    <x v="3"/>
    <x v="14"/>
  </r>
  <r>
    <n v="169"/>
    <s v="James"/>
    <s v="Martinez"/>
    <x v="168"/>
    <x v="1"/>
    <n v="47"/>
    <x v="2"/>
    <x v="3"/>
    <d v="2024-07-28T00:00:00"/>
    <n v="54515"/>
    <x v="4"/>
    <n v="1"/>
    <x v="1"/>
    <x v="1"/>
    <x v="6"/>
  </r>
  <r>
    <n v="170"/>
    <s v="Steven"/>
    <s v="Johnson"/>
    <x v="169"/>
    <x v="1"/>
    <n v="59"/>
    <x v="1"/>
    <x v="0"/>
    <d v="2013-04-22T00:00:00"/>
    <n v="41499"/>
    <x v="0"/>
    <n v="12"/>
    <x v="1"/>
    <x v="3"/>
    <x v="3"/>
  </r>
  <r>
    <n v="171"/>
    <s v="Steven"/>
    <s v="Jackson"/>
    <x v="170"/>
    <x v="1"/>
    <n v="41"/>
    <x v="5"/>
    <x v="0"/>
    <d v="2010-05-05T00:00:00"/>
    <n v="94712"/>
    <x v="2"/>
    <n v="15"/>
    <x v="0"/>
    <x v="1"/>
    <x v="5"/>
  </r>
  <r>
    <n v="172"/>
    <s v="David"/>
    <s v="Walker"/>
    <x v="171"/>
    <x v="1"/>
    <n v="55"/>
    <x v="0"/>
    <x v="3"/>
    <d v="2024-09-11T00:00:00"/>
    <n v="57367"/>
    <x v="3"/>
    <n v="1"/>
    <x v="0"/>
    <x v="3"/>
    <x v="6"/>
  </r>
  <r>
    <n v="173"/>
    <s v="Linda"/>
    <s v="Garcia"/>
    <x v="172"/>
    <x v="0"/>
    <n v="58"/>
    <x v="1"/>
    <x v="1"/>
    <d v="2021-11-24T00:00:00"/>
    <n v="31176"/>
    <x v="4"/>
    <n v="4"/>
    <x v="0"/>
    <x v="3"/>
    <x v="1"/>
  </r>
  <r>
    <n v="174"/>
    <s v="Mary"/>
    <s v="Martin"/>
    <x v="173"/>
    <x v="0"/>
    <n v="53"/>
    <x v="3"/>
    <x v="0"/>
    <d v="2014-08-14T00:00:00"/>
    <n v="40601"/>
    <x v="3"/>
    <n v="11"/>
    <x v="1"/>
    <x v="3"/>
    <x v="7"/>
  </r>
  <r>
    <n v="175"/>
    <s v="Elizabeth"/>
    <s v="Anderson"/>
    <x v="174"/>
    <x v="0"/>
    <n v="45"/>
    <x v="5"/>
    <x v="4"/>
    <d v="2023-04-24T00:00:00"/>
    <n v="39947"/>
    <x v="4"/>
    <n v="2"/>
    <x v="1"/>
    <x v="1"/>
    <x v="12"/>
  </r>
  <r>
    <n v="176"/>
    <s v="Sarah"/>
    <s v="Johnson"/>
    <x v="175"/>
    <x v="0"/>
    <n v="25"/>
    <x v="0"/>
    <x v="1"/>
    <d v="2018-08-12T00:00:00"/>
    <n v="45971"/>
    <x v="0"/>
    <n v="7"/>
    <x v="0"/>
    <x v="2"/>
    <x v="11"/>
  </r>
  <r>
    <n v="177"/>
    <s v="Sarah"/>
    <s v="Martinez"/>
    <x v="176"/>
    <x v="0"/>
    <n v="47"/>
    <x v="2"/>
    <x v="2"/>
    <d v="2019-03-28T00:00:00"/>
    <n v="47942"/>
    <x v="4"/>
    <n v="6"/>
    <x v="1"/>
    <x v="1"/>
    <x v="14"/>
  </r>
  <r>
    <n v="178"/>
    <s v="John"/>
    <s v="Thompson"/>
    <x v="177"/>
    <x v="1"/>
    <n v="41"/>
    <x v="4"/>
    <x v="3"/>
    <d v="2013-05-30T00:00:00"/>
    <n v="87461"/>
    <x v="4"/>
    <n v="12"/>
    <x v="0"/>
    <x v="1"/>
    <x v="3"/>
  </r>
  <r>
    <n v="179"/>
    <s v="Robert"/>
    <s v="Hall"/>
    <x v="178"/>
    <x v="1"/>
    <n v="29"/>
    <x v="1"/>
    <x v="3"/>
    <d v="2016-04-12T00:00:00"/>
    <n v="86699"/>
    <x v="2"/>
    <n v="9"/>
    <x v="0"/>
    <x v="2"/>
    <x v="8"/>
  </r>
  <r>
    <n v="180"/>
    <s v="Sophia"/>
    <s v="Martin"/>
    <x v="179"/>
    <x v="0"/>
    <n v="42"/>
    <x v="3"/>
    <x v="3"/>
    <d v="2022-04-09T00:00:00"/>
    <n v="37803"/>
    <x v="1"/>
    <n v="3"/>
    <x v="1"/>
    <x v="1"/>
    <x v="0"/>
  </r>
  <r>
    <n v="181"/>
    <s v="Barbara"/>
    <s v="Martin"/>
    <x v="180"/>
    <x v="0"/>
    <n v="48"/>
    <x v="0"/>
    <x v="0"/>
    <d v="2019-09-13T00:00:00"/>
    <n v="78221"/>
    <x v="1"/>
    <n v="6"/>
    <x v="0"/>
    <x v="1"/>
    <x v="14"/>
  </r>
  <r>
    <n v="182"/>
    <s v="Anthony"/>
    <s v="Lewis"/>
    <x v="181"/>
    <x v="1"/>
    <n v="58"/>
    <x v="1"/>
    <x v="1"/>
    <d v="2010-10-24T00:00:00"/>
    <n v="76251"/>
    <x v="0"/>
    <n v="15"/>
    <x v="0"/>
    <x v="3"/>
    <x v="5"/>
  </r>
  <r>
    <n v="183"/>
    <s v="Daniel"/>
    <s v="White"/>
    <x v="182"/>
    <x v="1"/>
    <n v="23"/>
    <x v="0"/>
    <x v="0"/>
    <d v="2018-07-13T00:00:00"/>
    <n v="38563"/>
    <x v="3"/>
    <n v="7"/>
    <x v="0"/>
    <x v="2"/>
    <x v="11"/>
  </r>
  <r>
    <n v="184"/>
    <s v="Robert"/>
    <s v="White"/>
    <x v="183"/>
    <x v="1"/>
    <n v="42"/>
    <x v="2"/>
    <x v="3"/>
    <d v="2011-06-29T00:00:00"/>
    <n v="87830"/>
    <x v="3"/>
    <n v="14"/>
    <x v="0"/>
    <x v="1"/>
    <x v="4"/>
  </r>
  <r>
    <n v="185"/>
    <s v="Michael"/>
    <s v="White"/>
    <x v="184"/>
    <x v="1"/>
    <n v="30"/>
    <x v="5"/>
    <x v="4"/>
    <d v="2022-07-13T00:00:00"/>
    <n v="26542"/>
    <x v="0"/>
    <n v="3"/>
    <x v="1"/>
    <x v="2"/>
    <x v="0"/>
  </r>
  <r>
    <n v="186"/>
    <s v="Anna"/>
    <s v="Jackson"/>
    <x v="185"/>
    <x v="0"/>
    <n v="34"/>
    <x v="3"/>
    <x v="2"/>
    <d v="2017-10-21T00:00:00"/>
    <n v="88827"/>
    <x v="4"/>
    <n v="8"/>
    <x v="1"/>
    <x v="0"/>
    <x v="13"/>
  </r>
  <r>
    <n v="187"/>
    <s v="John"/>
    <s v="Lee"/>
    <x v="186"/>
    <x v="1"/>
    <n v="48"/>
    <x v="5"/>
    <x v="2"/>
    <d v="2024-07-22T00:00:00"/>
    <n v="79773"/>
    <x v="4"/>
    <n v="1"/>
    <x v="1"/>
    <x v="1"/>
    <x v="6"/>
  </r>
  <r>
    <n v="188"/>
    <s v="Susan"/>
    <s v="Jackson"/>
    <x v="187"/>
    <x v="0"/>
    <n v="31"/>
    <x v="1"/>
    <x v="1"/>
    <d v="2019-01-30T00:00:00"/>
    <n v="40786"/>
    <x v="2"/>
    <n v="7"/>
    <x v="1"/>
    <x v="0"/>
    <x v="14"/>
  </r>
  <r>
    <n v="189"/>
    <s v="Paul"/>
    <s v="Harris"/>
    <x v="188"/>
    <x v="1"/>
    <n v="49"/>
    <x v="0"/>
    <x v="4"/>
    <d v="2024-05-31T00:00:00"/>
    <n v="33575"/>
    <x v="2"/>
    <n v="1"/>
    <x v="0"/>
    <x v="1"/>
    <x v="6"/>
  </r>
  <r>
    <n v="190"/>
    <s v="Barbara"/>
    <s v="Lee"/>
    <x v="189"/>
    <x v="0"/>
    <n v="47"/>
    <x v="4"/>
    <x v="3"/>
    <d v="2023-12-08T00:00:00"/>
    <n v="39949"/>
    <x v="4"/>
    <n v="2"/>
    <x v="1"/>
    <x v="1"/>
    <x v="12"/>
  </r>
  <r>
    <n v="191"/>
    <s v="Daniel"/>
    <s v="Clark"/>
    <x v="190"/>
    <x v="1"/>
    <n v="51"/>
    <x v="5"/>
    <x v="2"/>
    <d v="2021-10-13T00:00:00"/>
    <n v="41832"/>
    <x v="0"/>
    <n v="4"/>
    <x v="1"/>
    <x v="3"/>
    <x v="1"/>
  </r>
  <r>
    <n v="192"/>
    <s v="William"/>
    <s v="Martin"/>
    <x v="191"/>
    <x v="1"/>
    <n v="40"/>
    <x v="1"/>
    <x v="3"/>
    <d v="2017-01-13T00:00:00"/>
    <n v="83018"/>
    <x v="1"/>
    <n v="9"/>
    <x v="0"/>
    <x v="0"/>
    <x v="13"/>
  </r>
  <r>
    <n v="193"/>
    <s v="Elizabeth"/>
    <s v="Brown"/>
    <x v="192"/>
    <x v="0"/>
    <n v="46"/>
    <x v="3"/>
    <x v="1"/>
    <d v="2022-04-18T00:00:00"/>
    <n v="76517"/>
    <x v="0"/>
    <n v="3"/>
    <x v="1"/>
    <x v="1"/>
    <x v="0"/>
  </r>
  <r>
    <n v="194"/>
    <s v="Michael"/>
    <s v="Martin"/>
    <x v="193"/>
    <x v="1"/>
    <n v="29"/>
    <x v="3"/>
    <x v="0"/>
    <d v="2015-06-26T00:00:00"/>
    <n v="54551"/>
    <x v="0"/>
    <n v="10"/>
    <x v="0"/>
    <x v="2"/>
    <x v="2"/>
  </r>
  <r>
    <n v="195"/>
    <s v="Christopher"/>
    <s v="Brown"/>
    <x v="194"/>
    <x v="1"/>
    <n v="38"/>
    <x v="5"/>
    <x v="3"/>
    <d v="2019-10-02T00:00:00"/>
    <n v="47634"/>
    <x v="1"/>
    <n v="6"/>
    <x v="0"/>
    <x v="0"/>
    <x v="14"/>
  </r>
  <r>
    <n v="196"/>
    <s v="David"/>
    <s v="Smith"/>
    <x v="195"/>
    <x v="1"/>
    <n v="31"/>
    <x v="2"/>
    <x v="4"/>
    <d v="2010-05-30T00:00:00"/>
    <n v="74262"/>
    <x v="3"/>
    <n v="15"/>
    <x v="0"/>
    <x v="0"/>
    <x v="5"/>
  </r>
  <r>
    <n v="197"/>
    <s v="James"/>
    <s v="Walker"/>
    <x v="196"/>
    <x v="1"/>
    <n v="45"/>
    <x v="1"/>
    <x v="4"/>
    <d v="2013-12-19T00:00:00"/>
    <n v="25654"/>
    <x v="1"/>
    <n v="12"/>
    <x v="0"/>
    <x v="1"/>
    <x v="3"/>
  </r>
  <r>
    <n v="198"/>
    <s v="William"/>
    <s v="Martinez"/>
    <x v="197"/>
    <x v="1"/>
    <n v="49"/>
    <x v="2"/>
    <x v="3"/>
    <d v="2012-04-12T00:00:00"/>
    <n v="35172"/>
    <x v="0"/>
    <n v="13"/>
    <x v="0"/>
    <x v="1"/>
    <x v="10"/>
  </r>
  <r>
    <n v="199"/>
    <s v="Linda"/>
    <s v="Thompson"/>
    <x v="198"/>
    <x v="0"/>
    <n v="55"/>
    <x v="3"/>
    <x v="0"/>
    <d v="2025-01-15T00:00:00"/>
    <n v="44639"/>
    <x v="2"/>
    <n v="1"/>
    <x v="1"/>
    <x v="3"/>
    <x v="15"/>
  </r>
  <r>
    <n v="200"/>
    <s v="Mary"/>
    <s v="Jackson"/>
    <x v="199"/>
    <x v="0"/>
    <n v="44"/>
    <x v="3"/>
    <x v="1"/>
    <d v="2020-03-22T00:00:00"/>
    <n v="92190"/>
    <x v="3"/>
    <n v="5"/>
    <x v="0"/>
    <x v="1"/>
    <x v="9"/>
  </r>
  <r>
    <n v="201"/>
    <s v="Joseph"/>
    <s v="Jackson"/>
    <x v="200"/>
    <x v="1"/>
    <n v="42"/>
    <x v="3"/>
    <x v="1"/>
    <d v="2021-07-19T00:00:00"/>
    <n v="88015"/>
    <x v="1"/>
    <n v="4"/>
    <x v="0"/>
    <x v="1"/>
    <x v="1"/>
  </r>
  <r>
    <n v="202"/>
    <s v="Anna"/>
    <s v="Johnson"/>
    <x v="201"/>
    <x v="0"/>
    <n v="49"/>
    <x v="0"/>
    <x v="4"/>
    <d v="2011-05-19T00:00:00"/>
    <n v="27606"/>
    <x v="1"/>
    <n v="14"/>
    <x v="0"/>
    <x v="1"/>
    <x v="4"/>
  </r>
  <r>
    <n v="203"/>
    <s v="Michael"/>
    <s v="Hall"/>
    <x v="202"/>
    <x v="1"/>
    <n v="58"/>
    <x v="4"/>
    <x v="1"/>
    <d v="2013-07-18T00:00:00"/>
    <n v="80486"/>
    <x v="2"/>
    <n v="12"/>
    <x v="1"/>
    <x v="3"/>
    <x v="3"/>
  </r>
  <r>
    <n v="204"/>
    <s v="Paul"/>
    <s v="Martinez"/>
    <x v="203"/>
    <x v="1"/>
    <n v="43"/>
    <x v="5"/>
    <x v="2"/>
    <d v="2011-06-02T00:00:00"/>
    <n v="37717"/>
    <x v="3"/>
    <n v="14"/>
    <x v="0"/>
    <x v="1"/>
    <x v="4"/>
  </r>
  <r>
    <n v="205"/>
    <s v="Christopher"/>
    <s v="Clark"/>
    <x v="204"/>
    <x v="1"/>
    <n v="41"/>
    <x v="3"/>
    <x v="4"/>
    <d v="2021-08-16T00:00:00"/>
    <n v="45122"/>
    <x v="4"/>
    <n v="4"/>
    <x v="0"/>
    <x v="1"/>
    <x v="1"/>
  </r>
  <r>
    <n v="206"/>
    <s v="Daniel"/>
    <s v="Thompson"/>
    <x v="205"/>
    <x v="1"/>
    <n v="39"/>
    <x v="4"/>
    <x v="3"/>
    <d v="2013-07-20T00:00:00"/>
    <n v="42702"/>
    <x v="1"/>
    <n v="12"/>
    <x v="0"/>
    <x v="0"/>
    <x v="3"/>
  </r>
  <r>
    <n v="207"/>
    <s v="Elizabeth"/>
    <s v="Walker"/>
    <x v="206"/>
    <x v="0"/>
    <n v="41"/>
    <x v="0"/>
    <x v="1"/>
    <d v="2019-01-22T00:00:00"/>
    <n v="56141"/>
    <x v="1"/>
    <n v="7"/>
    <x v="0"/>
    <x v="1"/>
    <x v="14"/>
  </r>
  <r>
    <n v="208"/>
    <s v="James"/>
    <s v="Martin"/>
    <x v="207"/>
    <x v="1"/>
    <n v="30"/>
    <x v="1"/>
    <x v="3"/>
    <d v="2024-12-12T00:00:00"/>
    <n v="92437"/>
    <x v="3"/>
    <n v="1"/>
    <x v="0"/>
    <x v="2"/>
    <x v="6"/>
  </r>
  <r>
    <n v="209"/>
    <s v="Susan"/>
    <s v="Lewis"/>
    <x v="208"/>
    <x v="0"/>
    <n v="22"/>
    <x v="3"/>
    <x v="0"/>
    <d v="2020-09-27T00:00:00"/>
    <n v="77188"/>
    <x v="3"/>
    <n v="5"/>
    <x v="1"/>
    <x v="2"/>
    <x v="9"/>
  </r>
  <r>
    <n v="210"/>
    <s v="Linda"/>
    <s v="Taylor"/>
    <x v="209"/>
    <x v="0"/>
    <n v="49"/>
    <x v="3"/>
    <x v="1"/>
    <d v="2016-07-15T00:00:00"/>
    <n v="77192"/>
    <x v="4"/>
    <n v="9"/>
    <x v="1"/>
    <x v="1"/>
    <x v="8"/>
  </r>
  <r>
    <n v="211"/>
    <s v="Anna"/>
    <s v="Harris"/>
    <x v="210"/>
    <x v="0"/>
    <n v="43"/>
    <x v="2"/>
    <x v="0"/>
    <d v="2013-02-12T00:00:00"/>
    <n v="79076"/>
    <x v="3"/>
    <n v="12"/>
    <x v="1"/>
    <x v="1"/>
    <x v="3"/>
  </r>
  <r>
    <n v="212"/>
    <s v="Olivia"/>
    <s v="Thompson"/>
    <x v="211"/>
    <x v="0"/>
    <n v="43"/>
    <x v="4"/>
    <x v="2"/>
    <d v="2020-07-09T00:00:00"/>
    <n v="55048"/>
    <x v="3"/>
    <n v="5"/>
    <x v="1"/>
    <x v="1"/>
    <x v="9"/>
  </r>
  <r>
    <n v="213"/>
    <s v="David"/>
    <s v="Martinez"/>
    <x v="212"/>
    <x v="1"/>
    <n v="28"/>
    <x v="1"/>
    <x v="3"/>
    <d v="2013-11-08T00:00:00"/>
    <n v="25472"/>
    <x v="1"/>
    <n v="12"/>
    <x v="1"/>
    <x v="2"/>
    <x v="3"/>
  </r>
  <r>
    <n v="214"/>
    <s v="Christopher"/>
    <s v="Garcia"/>
    <x v="213"/>
    <x v="1"/>
    <n v="42"/>
    <x v="3"/>
    <x v="2"/>
    <d v="2014-01-22T00:00:00"/>
    <n v="57707"/>
    <x v="2"/>
    <n v="12"/>
    <x v="0"/>
    <x v="1"/>
    <x v="7"/>
  </r>
  <r>
    <n v="215"/>
    <s v="Barbara"/>
    <s v="Thomas"/>
    <x v="214"/>
    <x v="0"/>
    <n v="42"/>
    <x v="3"/>
    <x v="2"/>
    <d v="2023-03-26T00:00:00"/>
    <n v="75212"/>
    <x v="4"/>
    <n v="2"/>
    <x v="0"/>
    <x v="1"/>
    <x v="12"/>
  </r>
  <r>
    <n v="216"/>
    <s v="William"/>
    <s v="Clark"/>
    <x v="215"/>
    <x v="1"/>
    <n v="24"/>
    <x v="2"/>
    <x v="0"/>
    <d v="2014-10-04T00:00:00"/>
    <n v="77253"/>
    <x v="4"/>
    <n v="11"/>
    <x v="1"/>
    <x v="2"/>
    <x v="7"/>
  </r>
  <r>
    <n v="217"/>
    <s v="Barbara"/>
    <s v="Brown"/>
    <x v="216"/>
    <x v="0"/>
    <n v="53"/>
    <x v="0"/>
    <x v="1"/>
    <d v="2010-01-01T00:00:00"/>
    <n v="60397"/>
    <x v="4"/>
    <n v="16"/>
    <x v="0"/>
    <x v="3"/>
    <x v="5"/>
  </r>
  <r>
    <n v="218"/>
    <s v="Paul"/>
    <s v="Anderson"/>
    <x v="217"/>
    <x v="1"/>
    <n v="44"/>
    <x v="0"/>
    <x v="0"/>
    <d v="2019-03-14T00:00:00"/>
    <n v="37325"/>
    <x v="4"/>
    <n v="6"/>
    <x v="1"/>
    <x v="1"/>
    <x v="14"/>
  </r>
  <r>
    <n v="219"/>
    <s v="Patricia"/>
    <s v="Martin"/>
    <x v="218"/>
    <x v="0"/>
    <n v="24"/>
    <x v="4"/>
    <x v="3"/>
    <d v="2010-11-27T00:00:00"/>
    <n v="52772"/>
    <x v="3"/>
    <n v="15"/>
    <x v="0"/>
    <x v="2"/>
    <x v="5"/>
  </r>
  <r>
    <n v="220"/>
    <s v="Michael"/>
    <s v="Robinson"/>
    <x v="219"/>
    <x v="1"/>
    <n v="36"/>
    <x v="1"/>
    <x v="3"/>
    <d v="2018-02-15T00:00:00"/>
    <n v="66777"/>
    <x v="0"/>
    <n v="7"/>
    <x v="0"/>
    <x v="0"/>
    <x v="11"/>
  </r>
  <r>
    <n v="221"/>
    <s v="Mary"/>
    <s v="Lewis"/>
    <x v="220"/>
    <x v="0"/>
    <n v="25"/>
    <x v="5"/>
    <x v="3"/>
    <d v="2021-06-09T00:00:00"/>
    <n v="40843"/>
    <x v="2"/>
    <n v="4"/>
    <x v="1"/>
    <x v="2"/>
    <x v="1"/>
  </r>
  <r>
    <n v="222"/>
    <s v="Anthony"/>
    <s v="Clark"/>
    <x v="221"/>
    <x v="1"/>
    <n v="46"/>
    <x v="2"/>
    <x v="0"/>
    <d v="2019-05-13T00:00:00"/>
    <n v="91311"/>
    <x v="3"/>
    <n v="6"/>
    <x v="1"/>
    <x v="1"/>
    <x v="14"/>
  </r>
  <r>
    <n v="223"/>
    <s v="Emma"/>
    <s v="Martinez"/>
    <x v="222"/>
    <x v="0"/>
    <n v="37"/>
    <x v="0"/>
    <x v="3"/>
    <d v="2018-01-11T00:00:00"/>
    <n v="42911"/>
    <x v="4"/>
    <n v="8"/>
    <x v="1"/>
    <x v="0"/>
    <x v="11"/>
  </r>
  <r>
    <n v="224"/>
    <s v="Robert"/>
    <s v="Smith"/>
    <x v="223"/>
    <x v="1"/>
    <n v="44"/>
    <x v="0"/>
    <x v="1"/>
    <d v="2014-04-12T00:00:00"/>
    <n v="75458"/>
    <x v="3"/>
    <n v="11"/>
    <x v="0"/>
    <x v="1"/>
    <x v="7"/>
  </r>
  <r>
    <n v="225"/>
    <s v="Charles"/>
    <s v="Martin"/>
    <x v="224"/>
    <x v="1"/>
    <n v="54"/>
    <x v="1"/>
    <x v="2"/>
    <d v="2015-11-29T00:00:00"/>
    <n v="46463"/>
    <x v="2"/>
    <n v="10"/>
    <x v="0"/>
    <x v="3"/>
    <x v="2"/>
  </r>
  <r>
    <n v="226"/>
    <s v="Christopher"/>
    <s v="Allen"/>
    <x v="225"/>
    <x v="1"/>
    <n v="57"/>
    <x v="4"/>
    <x v="3"/>
    <d v="2017-09-21T00:00:00"/>
    <n v="25512"/>
    <x v="3"/>
    <n v="8"/>
    <x v="1"/>
    <x v="3"/>
    <x v="13"/>
  </r>
  <r>
    <n v="227"/>
    <s v="Jessica"/>
    <s v="Johnson"/>
    <x v="226"/>
    <x v="0"/>
    <n v="22"/>
    <x v="2"/>
    <x v="3"/>
    <d v="2010-08-25T00:00:00"/>
    <n v="26552"/>
    <x v="1"/>
    <n v="15"/>
    <x v="0"/>
    <x v="2"/>
    <x v="5"/>
  </r>
  <r>
    <n v="228"/>
    <s v="Susan"/>
    <s v="Hall"/>
    <x v="227"/>
    <x v="0"/>
    <n v="36"/>
    <x v="5"/>
    <x v="3"/>
    <d v="2012-06-27T00:00:00"/>
    <n v="94355"/>
    <x v="1"/>
    <n v="13"/>
    <x v="1"/>
    <x v="0"/>
    <x v="10"/>
  </r>
  <r>
    <n v="229"/>
    <s v="Michael"/>
    <s v="Thomas"/>
    <x v="228"/>
    <x v="1"/>
    <n v="50"/>
    <x v="2"/>
    <x v="2"/>
    <d v="2023-04-08T00:00:00"/>
    <n v="89763"/>
    <x v="1"/>
    <n v="2"/>
    <x v="0"/>
    <x v="1"/>
    <x v="12"/>
  </r>
  <r>
    <n v="230"/>
    <s v="Mary"/>
    <s v="Taylor"/>
    <x v="229"/>
    <x v="0"/>
    <n v="29"/>
    <x v="2"/>
    <x v="1"/>
    <d v="2019-03-30T00:00:00"/>
    <n v="83411"/>
    <x v="3"/>
    <n v="6"/>
    <x v="1"/>
    <x v="2"/>
    <x v="14"/>
  </r>
  <r>
    <n v="231"/>
    <s v="Sophia"/>
    <s v="Johnson"/>
    <x v="230"/>
    <x v="0"/>
    <n v="36"/>
    <x v="2"/>
    <x v="4"/>
    <d v="2023-06-05T00:00:00"/>
    <n v="28152"/>
    <x v="4"/>
    <n v="2"/>
    <x v="0"/>
    <x v="0"/>
    <x v="12"/>
  </r>
  <r>
    <n v="232"/>
    <s v="Sophia"/>
    <s v="Thompson"/>
    <x v="231"/>
    <x v="0"/>
    <n v="41"/>
    <x v="4"/>
    <x v="2"/>
    <d v="2017-12-12T00:00:00"/>
    <n v="63208"/>
    <x v="1"/>
    <n v="8"/>
    <x v="0"/>
    <x v="1"/>
    <x v="13"/>
  </r>
  <r>
    <n v="233"/>
    <s v="Jennifer"/>
    <s v="Taylor"/>
    <x v="232"/>
    <x v="0"/>
    <n v="26"/>
    <x v="4"/>
    <x v="3"/>
    <d v="2014-12-04T00:00:00"/>
    <n v="65290"/>
    <x v="0"/>
    <n v="11"/>
    <x v="1"/>
    <x v="2"/>
    <x v="7"/>
  </r>
  <r>
    <n v="234"/>
    <s v="Elizabeth"/>
    <s v="Hall"/>
    <x v="233"/>
    <x v="0"/>
    <n v="48"/>
    <x v="1"/>
    <x v="4"/>
    <d v="2013-02-11T00:00:00"/>
    <n v="70208"/>
    <x v="1"/>
    <n v="12"/>
    <x v="1"/>
    <x v="1"/>
    <x v="3"/>
  </r>
  <r>
    <n v="235"/>
    <s v="Christopher"/>
    <s v="Martin"/>
    <x v="234"/>
    <x v="1"/>
    <n v="36"/>
    <x v="0"/>
    <x v="4"/>
    <d v="2016-08-19T00:00:00"/>
    <n v="37370"/>
    <x v="1"/>
    <n v="9"/>
    <x v="1"/>
    <x v="0"/>
    <x v="8"/>
  </r>
  <r>
    <n v="236"/>
    <s v="Christopher"/>
    <s v="Taylor"/>
    <x v="235"/>
    <x v="1"/>
    <n v="58"/>
    <x v="1"/>
    <x v="0"/>
    <d v="2024-10-20T00:00:00"/>
    <n v="79105"/>
    <x v="0"/>
    <n v="1"/>
    <x v="0"/>
    <x v="3"/>
    <x v="6"/>
  </r>
  <r>
    <n v="237"/>
    <s v="Joseph"/>
    <s v="Lee"/>
    <x v="236"/>
    <x v="1"/>
    <n v="31"/>
    <x v="2"/>
    <x v="1"/>
    <d v="2012-04-20T00:00:00"/>
    <n v="48381"/>
    <x v="1"/>
    <n v="13"/>
    <x v="0"/>
    <x v="0"/>
    <x v="10"/>
  </r>
  <r>
    <n v="238"/>
    <s v="William"/>
    <s v="White"/>
    <x v="237"/>
    <x v="1"/>
    <n v="51"/>
    <x v="0"/>
    <x v="1"/>
    <d v="2022-08-13T00:00:00"/>
    <n v="72609"/>
    <x v="0"/>
    <n v="3"/>
    <x v="0"/>
    <x v="3"/>
    <x v="0"/>
  </r>
  <r>
    <n v="239"/>
    <s v="Linda"/>
    <s v="Robinson"/>
    <x v="238"/>
    <x v="0"/>
    <n v="56"/>
    <x v="5"/>
    <x v="1"/>
    <d v="2012-05-13T00:00:00"/>
    <n v="82533"/>
    <x v="4"/>
    <n v="13"/>
    <x v="1"/>
    <x v="3"/>
    <x v="10"/>
  </r>
  <r>
    <n v="240"/>
    <s v="Steven"/>
    <s v="Thomas"/>
    <x v="239"/>
    <x v="1"/>
    <n v="45"/>
    <x v="4"/>
    <x v="0"/>
    <d v="2016-02-25T00:00:00"/>
    <n v="87257"/>
    <x v="0"/>
    <n v="9"/>
    <x v="0"/>
    <x v="1"/>
    <x v="8"/>
  </r>
  <r>
    <n v="241"/>
    <s v="Charles"/>
    <s v="Allen"/>
    <x v="240"/>
    <x v="1"/>
    <n v="58"/>
    <x v="5"/>
    <x v="0"/>
    <d v="2022-07-21T00:00:00"/>
    <n v="41407"/>
    <x v="3"/>
    <n v="3"/>
    <x v="0"/>
    <x v="3"/>
    <x v="0"/>
  </r>
  <r>
    <n v="242"/>
    <s v="Steven"/>
    <s v="Clark"/>
    <x v="241"/>
    <x v="1"/>
    <n v="41"/>
    <x v="0"/>
    <x v="3"/>
    <d v="2016-06-12T00:00:00"/>
    <n v="37729"/>
    <x v="0"/>
    <n v="9"/>
    <x v="1"/>
    <x v="1"/>
    <x v="8"/>
  </r>
  <r>
    <n v="243"/>
    <s v="Mark"/>
    <s v="Taylor"/>
    <x v="242"/>
    <x v="1"/>
    <n v="45"/>
    <x v="2"/>
    <x v="4"/>
    <d v="2018-09-12T00:00:00"/>
    <n v="29719"/>
    <x v="1"/>
    <n v="7"/>
    <x v="1"/>
    <x v="1"/>
    <x v="11"/>
  </r>
  <r>
    <n v="244"/>
    <s v="Steven"/>
    <s v="White"/>
    <x v="243"/>
    <x v="1"/>
    <n v="48"/>
    <x v="3"/>
    <x v="2"/>
    <d v="2012-03-22T00:00:00"/>
    <n v="69712"/>
    <x v="3"/>
    <n v="13"/>
    <x v="1"/>
    <x v="1"/>
    <x v="10"/>
  </r>
  <r>
    <n v="245"/>
    <s v="Elizabeth"/>
    <s v="Clark"/>
    <x v="244"/>
    <x v="0"/>
    <n v="38"/>
    <x v="0"/>
    <x v="1"/>
    <d v="2018-02-01T00:00:00"/>
    <n v="67637"/>
    <x v="4"/>
    <n v="8"/>
    <x v="0"/>
    <x v="0"/>
    <x v="11"/>
  </r>
  <r>
    <n v="246"/>
    <s v="John"/>
    <s v="Anderson"/>
    <x v="245"/>
    <x v="1"/>
    <n v="38"/>
    <x v="4"/>
    <x v="3"/>
    <d v="2023-07-14T00:00:00"/>
    <n v="25300"/>
    <x v="0"/>
    <n v="2"/>
    <x v="0"/>
    <x v="0"/>
    <x v="12"/>
  </r>
  <r>
    <n v="247"/>
    <s v="Linda"/>
    <s v="Smith"/>
    <x v="246"/>
    <x v="0"/>
    <n v="30"/>
    <x v="4"/>
    <x v="1"/>
    <d v="2015-04-11T00:00:00"/>
    <n v="68980"/>
    <x v="3"/>
    <n v="10"/>
    <x v="0"/>
    <x v="2"/>
    <x v="2"/>
  </r>
  <r>
    <n v="248"/>
    <s v="Mary"/>
    <s v="Thompson"/>
    <x v="247"/>
    <x v="0"/>
    <n v="43"/>
    <x v="4"/>
    <x v="1"/>
    <d v="2016-04-27T00:00:00"/>
    <n v="48100"/>
    <x v="2"/>
    <n v="9"/>
    <x v="0"/>
    <x v="1"/>
    <x v="8"/>
  </r>
  <r>
    <n v="249"/>
    <s v="Michael"/>
    <s v="Johnson"/>
    <x v="248"/>
    <x v="1"/>
    <n v="26"/>
    <x v="3"/>
    <x v="1"/>
    <d v="2018-04-13T00:00:00"/>
    <n v="49101"/>
    <x v="3"/>
    <n v="7"/>
    <x v="1"/>
    <x v="2"/>
    <x v="11"/>
  </r>
  <r>
    <n v="250"/>
    <s v="Anthony"/>
    <s v="Thompson"/>
    <x v="249"/>
    <x v="1"/>
    <n v="40"/>
    <x v="0"/>
    <x v="2"/>
    <d v="2015-04-23T00:00:00"/>
    <n v="57583"/>
    <x v="4"/>
    <n v="10"/>
    <x v="1"/>
    <x v="0"/>
    <x v="2"/>
  </r>
  <r>
    <n v="251"/>
    <s v="James"/>
    <s v="Robinson"/>
    <x v="250"/>
    <x v="1"/>
    <n v="33"/>
    <x v="5"/>
    <x v="4"/>
    <d v="2012-03-05T00:00:00"/>
    <n v="40351"/>
    <x v="3"/>
    <n v="13"/>
    <x v="0"/>
    <x v="0"/>
    <x v="10"/>
  </r>
  <r>
    <n v="252"/>
    <s v="Michael"/>
    <s v="Thompson"/>
    <x v="251"/>
    <x v="1"/>
    <n v="25"/>
    <x v="1"/>
    <x v="1"/>
    <d v="2014-02-05T00:00:00"/>
    <n v="26475"/>
    <x v="3"/>
    <n v="11"/>
    <x v="0"/>
    <x v="2"/>
    <x v="7"/>
  </r>
  <r>
    <n v="253"/>
    <s v="Joseph"/>
    <s v="Walker"/>
    <x v="252"/>
    <x v="1"/>
    <n v="60"/>
    <x v="0"/>
    <x v="0"/>
    <d v="2021-06-13T00:00:00"/>
    <n v="90961"/>
    <x v="2"/>
    <n v="4"/>
    <x v="0"/>
    <x v="3"/>
    <x v="1"/>
  </r>
  <r>
    <n v="254"/>
    <s v="Sarah"/>
    <s v="Hall"/>
    <x v="253"/>
    <x v="0"/>
    <n v="49"/>
    <x v="4"/>
    <x v="2"/>
    <d v="2017-04-03T00:00:00"/>
    <n v="71106"/>
    <x v="4"/>
    <n v="8"/>
    <x v="0"/>
    <x v="1"/>
    <x v="13"/>
  </r>
  <r>
    <n v="255"/>
    <s v="Anthony"/>
    <s v="White"/>
    <x v="254"/>
    <x v="1"/>
    <n v="27"/>
    <x v="1"/>
    <x v="3"/>
    <d v="2010-12-02T00:00:00"/>
    <n v="90054"/>
    <x v="3"/>
    <n v="15"/>
    <x v="0"/>
    <x v="2"/>
    <x v="5"/>
  </r>
  <r>
    <n v="256"/>
    <s v="Robert"/>
    <s v="Lewis"/>
    <x v="255"/>
    <x v="1"/>
    <n v="25"/>
    <x v="1"/>
    <x v="1"/>
    <d v="2016-04-27T00:00:00"/>
    <n v="54207"/>
    <x v="0"/>
    <n v="9"/>
    <x v="0"/>
    <x v="2"/>
    <x v="8"/>
  </r>
  <r>
    <n v="257"/>
    <s v="Sophia"/>
    <s v="Harris"/>
    <x v="256"/>
    <x v="0"/>
    <n v="44"/>
    <x v="0"/>
    <x v="4"/>
    <d v="2016-04-23T00:00:00"/>
    <n v="53764"/>
    <x v="1"/>
    <n v="9"/>
    <x v="0"/>
    <x v="1"/>
    <x v="8"/>
  </r>
  <r>
    <n v="258"/>
    <s v="James"/>
    <s v="Brown"/>
    <x v="257"/>
    <x v="1"/>
    <n v="50"/>
    <x v="1"/>
    <x v="3"/>
    <d v="2013-08-12T00:00:00"/>
    <n v="56057"/>
    <x v="1"/>
    <n v="12"/>
    <x v="0"/>
    <x v="1"/>
    <x v="3"/>
  </r>
  <r>
    <n v="259"/>
    <s v="Michael"/>
    <s v="Lewis"/>
    <x v="258"/>
    <x v="1"/>
    <n v="43"/>
    <x v="5"/>
    <x v="1"/>
    <d v="2011-11-11T00:00:00"/>
    <n v="39701"/>
    <x v="4"/>
    <n v="14"/>
    <x v="1"/>
    <x v="1"/>
    <x v="4"/>
  </r>
  <r>
    <n v="260"/>
    <s v="David"/>
    <s v="Lee"/>
    <x v="259"/>
    <x v="1"/>
    <n v="28"/>
    <x v="4"/>
    <x v="3"/>
    <d v="2011-05-26T00:00:00"/>
    <n v="32646"/>
    <x v="0"/>
    <n v="14"/>
    <x v="0"/>
    <x v="2"/>
    <x v="4"/>
  </r>
  <r>
    <n v="261"/>
    <s v="David"/>
    <s v="Jackson"/>
    <x v="260"/>
    <x v="1"/>
    <n v="60"/>
    <x v="2"/>
    <x v="4"/>
    <d v="2012-02-15T00:00:00"/>
    <n v="64043"/>
    <x v="1"/>
    <n v="13"/>
    <x v="1"/>
    <x v="3"/>
    <x v="10"/>
  </r>
  <r>
    <n v="262"/>
    <s v="Christopher"/>
    <s v="White"/>
    <x v="261"/>
    <x v="1"/>
    <n v="23"/>
    <x v="3"/>
    <x v="2"/>
    <d v="2019-10-01T00:00:00"/>
    <n v="62198"/>
    <x v="4"/>
    <n v="6"/>
    <x v="0"/>
    <x v="2"/>
    <x v="14"/>
  </r>
  <r>
    <n v="263"/>
    <s v="Anna"/>
    <s v="Smith"/>
    <x v="262"/>
    <x v="0"/>
    <n v="46"/>
    <x v="3"/>
    <x v="4"/>
    <d v="2023-03-16T00:00:00"/>
    <n v="80185"/>
    <x v="2"/>
    <n v="2"/>
    <x v="1"/>
    <x v="1"/>
    <x v="12"/>
  </r>
  <r>
    <n v="264"/>
    <s v="Anthony"/>
    <s v="Brown"/>
    <x v="263"/>
    <x v="1"/>
    <n v="27"/>
    <x v="3"/>
    <x v="2"/>
    <d v="2024-04-26T00:00:00"/>
    <n v="35453"/>
    <x v="4"/>
    <n v="1"/>
    <x v="1"/>
    <x v="2"/>
    <x v="6"/>
  </r>
  <r>
    <n v="265"/>
    <s v="Daniel"/>
    <s v="Thomas"/>
    <x v="264"/>
    <x v="1"/>
    <n v="51"/>
    <x v="4"/>
    <x v="1"/>
    <d v="2024-03-16T00:00:00"/>
    <n v="72480"/>
    <x v="0"/>
    <n v="1"/>
    <x v="0"/>
    <x v="3"/>
    <x v="6"/>
  </r>
  <r>
    <n v="266"/>
    <s v="Emily"/>
    <s v="Martin"/>
    <x v="265"/>
    <x v="0"/>
    <n v="37"/>
    <x v="5"/>
    <x v="0"/>
    <d v="2022-04-05T00:00:00"/>
    <n v="61964"/>
    <x v="3"/>
    <n v="3"/>
    <x v="1"/>
    <x v="0"/>
    <x v="0"/>
  </r>
  <r>
    <n v="267"/>
    <s v="Anna"/>
    <s v="Lewis"/>
    <x v="266"/>
    <x v="0"/>
    <n v="23"/>
    <x v="2"/>
    <x v="2"/>
    <d v="2021-04-29T00:00:00"/>
    <n v="59877"/>
    <x v="1"/>
    <n v="4"/>
    <x v="1"/>
    <x v="2"/>
    <x v="1"/>
  </r>
  <r>
    <n v="268"/>
    <s v="Emily"/>
    <s v="Martinez"/>
    <x v="267"/>
    <x v="0"/>
    <n v="22"/>
    <x v="5"/>
    <x v="0"/>
    <d v="2022-10-11T00:00:00"/>
    <n v="65901"/>
    <x v="4"/>
    <n v="3"/>
    <x v="0"/>
    <x v="2"/>
    <x v="0"/>
  </r>
  <r>
    <n v="269"/>
    <s v="Olivia"/>
    <s v="Anderson"/>
    <x v="268"/>
    <x v="0"/>
    <n v="46"/>
    <x v="0"/>
    <x v="0"/>
    <d v="2023-09-17T00:00:00"/>
    <n v="38749"/>
    <x v="4"/>
    <n v="2"/>
    <x v="1"/>
    <x v="1"/>
    <x v="12"/>
  </r>
  <r>
    <n v="270"/>
    <s v="Emma"/>
    <s v="Hall"/>
    <x v="269"/>
    <x v="0"/>
    <n v="45"/>
    <x v="1"/>
    <x v="1"/>
    <d v="2013-04-29T00:00:00"/>
    <n v="61733"/>
    <x v="2"/>
    <n v="12"/>
    <x v="1"/>
    <x v="1"/>
    <x v="3"/>
  </r>
  <r>
    <n v="271"/>
    <s v="Paul"/>
    <s v="Hall"/>
    <x v="270"/>
    <x v="1"/>
    <n v="44"/>
    <x v="5"/>
    <x v="0"/>
    <d v="2020-11-15T00:00:00"/>
    <n v="27173"/>
    <x v="0"/>
    <n v="5"/>
    <x v="0"/>
    <x v="1"/>
    <x v="9"/>
  </r>
  <r>
    <n v="272"/>
    <s v="Anthony"/>
    <s v="Martinez"/>
    <x v="271"/>
    <x v="1"/>
    <n v="39"/>
    <x v="3"/>
    <x v="0"/>
    <d v="2013-07-03T00:00:00"/>
    <n v="35987"/>
    <x v="0"/>
    <n v="12"/>
    <x v="1"/>
    <x v="0"/>
    <x v="3"/>
  </r>
  <r>
    <n v="273"/>
    <s v="Michael"/>
    <s v="Clark"/>
    <x v="272"/>
    <x v="1"/>
    <n v="31"/>
    <x v="2"/>
    <x v="1"/>
    <d v="2014-04-01T00:00:00"/>
    <n v="32406"/>
    <x v="4"/>
    <n v="11"/>
    <x v="1"/>
    <x v="0"/>
    <x v="7"/>
  </r>
  <r>
    <n v="274"/>
    <s v="Sophia"/>
    <s v="Jackson"/>
    <x v="273"/>
    <x v="0"/>
    <n v="46"/>
    <x v="4"/>
    <x v="2"/>
    <d v="2017-03-31T00:00:00"/>
    <n v="35736"/>
    <x v="4"/>
    <n v="8"/>
    <x v="0"/>
    <x v="1"/>
    <x v="13"/>
  </r>
  <r>
    <n v="275"/>
    <s v="Emma"/>
    <s v="White"/>
    <x v="274"/>
    <x v="0"/>
    <n v="29"/>
    <x v="5"/>
    <x v="4"/>
    <d v="2022-04-11T00:00:00"/>
    <n v="33583"/>
    <x v="4"/>
    <n v="3"/>
    <x v="1"/>
    <x v="2"/>
    <x v="0"/>
  </r>
  <r>
    <n v="276"/>
    <s v="Sophia"/>
    <s v="Thomas"/>
    <x v="275"/>
    <x v="0"/>
    <n v="47"/>
    <x v="5"/>
    <x v="2"/>
    <d v="2014-09-18T00:00:00"/>
    <n v="57285"/>
    <x v="1"/>
    <n v="11"/>
    <x v="0"/>
    <x v="1"/>
    <x v="7"/>
  </r>
  <r>
    <n v="277"/>
    <s v="Barbara"/>
    <s v="Garcia"/>
    <x v="276"/>
    <x v="0"/>
    <n v="54"/>
    <x v="5"/>
    <x v="1"/>
    <d v="2024-12-17T00:00:00"/>
    <n v="94451"/>
    <x v="3"/>
    <n v="1"/>
    <x v="0"/>
    <x v="3"/>
    <x v="6"/>
  </r>
  <r>
    <n v="278"/>
    <s v="Anna"/>
    <s v="Martinez"/>
    <x v="277"/>
    <x v="0"/>
    <n v="40"/>
    <x v="2"/>
    <x v="1"/>
    <d v="2021-12-21T00:00:00"/>
    <n v="56199"/>
    <x v="1"/>
    <n v="4"/>
    <x v="1"/>
    <x v="0"/>
    <x v="1"/>
  </r>
  <r>
    <n v="279"/>
    <s v="Emily"/>
    <s v="Hall"/>
    <x v="278"/>
    <x v="0"/>
    <n v="26"/>
    <x v="1"/>
    <x v="4"/>
    <d v="2018-08-29T00:00:00"/>
    <n v="45065"/>
    <x v="4"/>
    <n v="7"/>
    <x v="1"/>
    <x v="2"/>
    <x v="11"/>
  </r>
  <r>
    <n v="280"/>
    <s v="Anna"/>
    <s v="Taylor"/>
    <x v="279"/>
    <x v="0"/>
    <n v="44"/>
    <x v="5"/>
    <x v="3"/>
    <d v="2016-12-27T00:00:00"/>
    <n v="30856"/>
    <x v="1"/>
    <n v="9"/>
    <x v="1"/>
    <x v="1"/>
    <x v="8"/>
  </r>
  <r>
    <n v="281"/>
    <s v="Christopher"/>
    <s v="Thompson"/>
    <x v="280"/>
    <x v="1"/>
    <n v="51"/>
    <x v="0"/>
    <x v="1"/>
    <d v="2015-02-15T00:00:00"/>
    <n v="42964"/>
    <x v="2"/>
    <n v="10"/>
    <x v="1"/>
    <x v="3"/>
    <x v="2"/>
  </r>
  <r>
    <n v="282"/>
    <s v="Emma"/>
    <s v="Smith"/>
    <x v="281"/>
    <x v="0"/>
    <n v="37"/>
    <x v="0"/>
    <x v="1"/>
    <d v="2022-06-10T00:00:00"/>
    <n v="49176"/>
    <x v="4"/>
    <n v="3"/>
    <x v="0"/>
    <x v="0"/>
    <x v="0"/>
  </r>
  <r>
    <n v="283"/>
    <s v="Sophia"/>
    <s v="Lewis"/>
    <x v="282"/>
    <x v="0"/>
    <n v="41"/>
    <x v="4"/>
    <x v="2"/>
    <d v="2017-06-03T00:00:00"/>
    <n v="29642"/>
    <x v="1"/>
    <n v="8"/>
    <x v="1"/>
    <x v="1"/>
    <x v="13"/>
  </r>
  <r>
    <n v="284"/>
    <s v="Mary"/>
    <s v="Martinez"/>
    <x v="283"/>
    <x v="0"/>
    <n v="39"/>
    <x v="2"/>
    <x v="3"/>
    <d v="2018-11-14T00:00:00"/>
    <n v="79219"/>
    <x v="1"/>
    <n v="7"/>
    <x v="0"/>
    <x v="0"/>
    <x v="11"/>
  </r>
  <r>
    <n v="285"/>
    <s v="Jessica"/>
    <s v="Hall"/>
    <x v="284"/>
    <x v="0"/>
    <n v="24"/>
    <x v="0"/>
    <x v="4"/>
    <d v="2014-12-22T00:00:00"/>
    <n v="64696"/>
    <x v="3"/>
    <n v="11"/>
    <x v="0"/>
    <x v="2"/>
    <x v="7"/>
  </r>
  <r>
    <n v="286"/>
    <s v="Michael"/>
    <s v="Martinez"/>
    <x v="285"/>
    <x v="1"/>
    <n v="22"/>
    <x v="1"/>
    <x v="3"/>
    <d v="2012-08-01T00:00:00"/>
    <n v="37128"/>
    <x v="3"/>
    <n v="13"/>
    <x v="1"/>
    <x v="2"/>
    <x v="10"/>
  </r>
  <r>
    <n v="287"/>
    <s v="Mary"/>
    <s v="Robinson"/>
    <x v="286"/>
    <x v="0"/>
    <n v="28"/>
    <x v="4"/>
    <x v="4"/>
    <d v="2023-06-18T00:00:00"/>
    <n v="62153"/>
    <x v="4"/>
    <n v="2"/>
    <x v="1"/>
    <x v="2"/>
    <x v="12"/>
  </r>
  <r>
    <n v="288"/>
    <s v="Jennifer"/>
    <s v="Allen"/>
    <x v="287"/>
    <x v="0"/>
    <n v="44"/>
    <x v="2"/>
    <x v="3"/>
    <d v="2012-06-17T00:00:00"/>
    <n v="60059"/>
    <x v="1"/>
    <n v="13"/>
    <x v="1"/>
    <x v="1"/>
    <x v="10"/>
  </r>
  <r>
    <n v="289"/>
    <s v="Susan"/>
    <s v="White"/>
    <x v="288"/>
    <x v="0"/>
    <n v="31"/>
    <x v="2"/>
    <x v="2"/>
    <d v="2012-04-05T00:00:00"/>
    <n v="93736"/>
    <x v="1"/>
    <n v="13"/>
    <x v="0"/>
    <x v="0"/>
    <x v="10"/>
  </r>
  <r>
    <n v="290"/>
    <s v="Sophia"/>
    <s v="Taylor"/>
    <x v="289"/>
    <x v="0"/>
    <n v="26"/>
    <x v="3"/>
    <x v="1"/>
    <d v="2019-09-11T00:00:00"/>
    <n v="33090"/>
    <x v="1"/>
    <n v="6"/>
    <x v="0"/>
    <x v="2"/>
    <x v="14"/>
  </r>
  <r>
    <n v="291"/>
    <s v="Daniel"/>
    <s v="Anderson"/>
    <x v="290"/>
    <x v="1"/>
    <n v="39"/>
    <x v="1"/>
    <x v="3"/>
    <d v="2018-04-26T00:00:00"/>
    <n v="88218"/>
    <x v="2"/>
    <n v="7"/>
    <x v="0"/>
    <x v="0"/>
    <x v="11"/>
  </r>
  <r>
    <n v="292"/>
    <s v="Patricia"/>
    <s v="Taylor"/>
    <x v="291"/>
    <x v="0"/>
    <n v="48"/>
    <x v="3"/>
    <x v="1"/>
    <d v="2016-04-02T00:00:00"/>
    <n v="68026"/>
    <x v="1"/>
    <n v="9"/>
    <x v="0"/>
    <x v="1"/>
    <x v="8"/>
  </r>
  <r>
    <n v="293"/>
    <s v="Karen"/>
    <s v="Taylor"/>
    <x v="292"/>
    <x v="0"/>
    <n v="48"/>
    <x v="1"/>
    <x v="1"/>
    <d v="2018-09-23T00:00:00"/>
    <n v="81226"/>
    <x v="2"/>
    <n v="7"/>
    <x v="0"/>
    <x v="1"/>
    <x v="11"/>
  </r>
  <r>
    <n v="294"/>
    <s v="William"/>
    <s v="Harris"/>
    <x v="293"/>
    <x v="1"/>
    <n v="27"/>
    <x v="4"/>
    <x v="2"/>
    <d v="2016-11-26T00:00:00"/>
    <n v="70982"/>
    <x v="1"/>
    <n v="9"/>
    <x v="0"/>
    <x v="2"/>
    <x v="8"/>
  </r>
  <r>
    <n v="295"/>
    <s v="Michael"/>
    <s v="Garcia"/>
    <x v="294"/>
    <x v="1"/>
    <n v="60"/>
    <x v="5"/>
    <x v="1"/>
    <d v="2021-10-23T00:00:00"/>
    <n v="31023"/>
    <x v="1"/>
    <n v="4"/>
    <x v="0"/>
    <x v="3"/>
    <x v="1"/>
  </r>
  <r>
    <n v="296"/>
    <s v="Olivia"/>
    <s v="Lee"/>
    <x v="295"/>
    <x v="0"/>
    <n v="49"/>
    <x v="1"/>
    <x v="2"/>
    <d v="2021-12-11T00:00:00"/>
    <n v="28491"/>
    <x v="4"/>
    <n v="4"/>
    <x v="1"/>
    <x v="1"/>
    <x v="1"/>
  </r>
  <r>
    <n v="297"/>
    <s v="Karen"/>
    <s v="Johnson"/>
    <x v="296"/>
    <x v="0"/>
    <n v="46"/>
    <x v="2"/>
    <x v="3"/>
    <d v="2012-03-16T00:00:00"/>
    <n v="60026"/>
    <x v="0"/>
    <n v="13"/>
    <x v="1"/>
    <x v="1"/>
    <x v="10"/>
  </r>
  <r>
    <n v="298"/>
    <s v="Charles"/>
    <s v="Taylor"/>
    <x v="297"/>
    <x v="1"/>
    <n v="38"/>
    <x v="3"/>
    <x v="4"/>
    <d v="2010-03-23T00:00:00"/>
    <n v="47361"/>
    <x v="3"/>
    <n v="15"/>
    <x v="1"/>
    <x v="0"/>
    <x v="5"/>
  </r>
  <r>
    <n v="299"/>
    <s v="Jessica"/>
    <s v="Lee"/>
    <x v="298"/>
    <x v="0"/>
    <n v="57"/>
    <x v="3"/>
    <x v="1"/>
    <d v="2017-02-15T00:00:00"/>
    <n v="39121"/>
    <x v="4"/>
    <n v="8"/>
    <x v="1"/>
    <x v="3"/>
    <x v="13"/>
  </r>
  <r>
    <n v="300"/>
    <s v="Jennifer"/>
    <s v="Hall"/>
    <x v="299"/>
    <x v="0"/>
    <n v="48"/>
    <x v="2"/>
    <x v="2"/>
    <d v="2010-01-08T00:00:00"/>
    <n v="56731"/>
    <x v="4"/>
    <n v="16"/>
    <x v="1"/>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8FFA7E-67CD-442D-88AE-AD36FC6DA2FF}" name="PivotTable25" cacheId="7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I177:J183" firstHeaderRow="1" firstDataRow="1" firstDataCol="1" rowPageCount="2" colPageCount="1"/>
  <pivotFields count="15">
    <pivotField showAll="0"/>
    <pivotField showAll="0"/>
    <pivotField showAll="0"/>
    <pivotField showAll="0"/>
    <pivotField showAll="0"/>
    <pivotField showAll="0"/>
    <pivotField axis="axisRow" showAll="0" sortType="descending">
      <items count="7">
        <item x="0"/>
        <item x="1"/>
        <item x="4"/>
        <item x="3"/>
        <item x="5"/>
        <item x="2"/>
        <item t="default"/>
      </items>
      <autoSortScope>
        <pivotArea dataOnly="0" outline="0" fieldPosition="0">
          <references count="1">
            <reference field="4294967294" count="1" selected="0">
              <x v="0"/>
            </reference>
          </references>
        </pivotArea>
      </autoSortScope>
    </pivotField>
    <pivotField showAll="0"/>
    <pivotField numFmtId="14" showAll="0"/>
    <pivotField dataField="1" numFmtId="164" showAll="0"/>
    <pivotField axis="axisPage" multipleItemSelectionAllowed="1" showAll="0">
      <items count="6">
        <item h="1" x="0"/>
        <item h="1" x="2"/>
        <item h="1" x="4"/>
        <item x="3"/>
        <item x="1"/>
        <item t="default"/>
      </items>
    </pivotField>
    <pivotField showAll="0"/>
    <pivotField axis="axisPage" showAll="0">
      <items count="3">
        <item x="0"/>
        <item x="1"/>
        <item t="default"/>
      </items>
    </pivotField>
    <pivotField showAll="0"/>
    <pivotField showAll="0"/>
  </pivotFields>
  <rowFields count="1">
    <field x="6"/>
  </rowFields>
  <rowItems count="6">
    <i>
      <x v="1"/>
    </i>
    <i>
      <x v="3"/>
    </i>
    <i>
      <x v="5"/>
    </i>
    <i>
      <x v="2"/>
    </i>
    <i>
      <x v="4"/>
    </i>
    <i>
      <x/>
    </i>
  </rowItems>
  <colItems count="1">
    <i/>
  </colItems>
  <pageFields count="2">
    <pageField fld="12" item="0" hier="-1"/>
    <pageField fld="10" hier="-1"/>
  </pageFields>
  <dataFields count="1">
    <dataField name="Average of Salary" fld="9" subtotal="average" baseField="6"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7C4B27-EA2B-41EE-9E21-AABDCBEC075D}" name="PivotTable24" cacheId="7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C177:D183" firstHeaderRow="1" firstDataRow="1" firstDataCol="1" rowPageCount="2" colPageCount="1"/>
  <pivotFields count="15">
    <pivotField showAll="0"/>
    <pivotField showAll="0"/>
    <pivotField showAll="0"/>
    <pivotField showAll="0"/>
    <pivotField showAll="0"/>
    <pivotField showAll="0"/>
    <pivotField axis="axisRow" showAll="0" sortType="descending">
      <items count="7">
        <item x="0"/>
        <item x="1"/>
        <item x="4"/>
        <item x="3"/>
        <item x="5"/>
        <item x="2"/>
        <item t="default"/>
      </items>
      <autoSortScope>
        <pivotArea dataOnly="0" outline="0" fieldPosition="0">
          <references count="1">
            <reference field="4294967294" count="1" selected="0">
              <x v="0"/>
            </reference>
          </references>
        </pivotArea>
      </autoSortScope>
    </pivotField>
    <pivotField showAll="0"/>
    <pivotField numFmtId="14" showAll="0"/>
    <pivotField dataField="1" numFmtId="164" showAll="0"/>
    <pivotField axis="axisPage" multipleItemSelectionAllowed="1" showAll="0">
      <items count="6">
        <item h="1" x="0"/>
        <item h="1" x="2"/>
        <item h="1" x="4"/>
        <item x="3"/>
        <item x="1"/>
        <item t="default"/>
      </items>
    </pivotField>
    <pivotField showAll="0"/>
    <pivotField axis="axisPage" showAll="0">
      <items count="3">
        <item x="0"/>
        <item x="1"/>
        <item t="default"/>
      </items>
    </pivotField>
    <pivotField showAll="0"/>
    <pivotField showAll="0"/>
  </pivotFields>
  <rowFields count="1">
    <field x="6"/>
  </rowFields>
  <rowItems count="6">
    <i>
      <x v="5"/>
    </i>
    <i>
      <x v="4"/>
    </i>
    <i>
      <x v="1"/>
    </i>
    <i>
      <x v="2"/>
    </i>
    <i>
      <x/>
    </i>
    <i>
      <x v="3"/>
    </i>
  </rowItems>
  <colItems count="1">
    <i/>
  </colItems>
  <pageFields count="2">
    <pageField fld="12" item="1" hier="-1"/>
    <pageField fld="10" hier="-1"/>
  </pageFields>
  <dataFields count="1">
    <dataField name="Average of Salary" fld="9" subtotal="average" baseField="6" baseItem="0" numFmtId="16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F41740-2265-4BA4-8609-304A9D3680D5}" name="PivotTable23" cacheId="7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H157:J163" firstHeaderRow="1" firstDataRow="2" firstDataCol="1" rowPageCount="1" colPageCount="1"/>
  <pivotFields count="15">
    <pivotField showAll="0"/>
    <pivotField showAll="0"/>
    <pivotField showAll="0"/>
    <pivotField showAll="0"/>
    <pivotField axis="axisCol" showAll="0">
      <items count="3">
        <item x="0"/>
        <item x="1"/>
        <item t="default"/>
      </items>
    </pivotField>
    <pivotField showAll="0"/>
    <pivotField showAll="0">
      <items count="7">
        <item x="0"/>
        <item x="1"/>
        <item x="4"/>
        <item x="3"/>
        <item x="5"/>
        <item x="2"/>
        <item t="default"/>
      </items>
    </pivotField>
    <pivotField axis="axisRow" showAll="0">
      <items count="6">
        <item x="1"/>
        <item x="4"/>
        <item x="2"/>
        <item x="3"/>
        <item x="0"/>
        <item t="default"/>
      </items>
    </pivotField>
    <pivotField numFmtId="14" showAll="0"/>
    <pivotField dataField="1" numFmtId="164" showAll="0"/>
    <pivotField showAll="0"/>
    <pivotField showAll="0"/>
    <pivotField axis="axisPage" showAll="0">
      <items count="3">
        <item x="0"/>
        <item x="1"/>
        <item t="default"/>
      </items>
    </pivotField>
    <pivotField showAll="0"/>
    <pivotField showAll="0"/>
  </pivotFields>
  <rowFields count="1">
    <field x="7"/>
  </rowFields>
  <rowItems count="5">
    <i>
      <x/>
    </i>
    <i>
      <x v="1"/>
    </i>
    <i>
      <x v="2"/>
    </i>
    <i>
      <x v="3"/>
    </i>
    <i>
      <x v="4"/>
    </i>
  </rowItems>
  <colFields count="1">
    <field x="4"/>
  </colFields>
  <colItems count="2">
    <i>
      <x/>
    </i>
    <i>
      <x v="1"/>
    </i>
  </colItems>
  <pageFields count="1">
    <pageField fld="12" item="0" hier="-1"/>
  </pageFields>
  <dataFields count="1">
    <dataField name="Average of Salary" fld="9" subtotal="average" baseField="7" baseItem="0" numFmtId="164"/>
  </dataFields>
  <formats count="1">
    <format dxfId="2">
      <pivotArea outline="0" collapsedLevelsAreSubtotals="1" fieldPosition="0"/>
    </format>
  </formats>
  <chartFormats count="2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3">
          <reference field="4294967294" count="1" selected="0">
            <x v="0"/>
          </reference>
          <reference field="4" count="1" selected="0">
            <x v="1"/>
          </reference>
          <reference field="7" count="1" selected="0">
            <x v="4"/>
          </reference>
        </references>
      </pivotArea>
    </chartFormat>
    <chartFormat chart="0" format="3">
      <pivotArea type="data" outline="0" fieldPosition="0">
        <references count="3">
          <reference field="4294967294" count="1" selected="0">
            <x v="0"/>
          </reference>
          <reference field="4" count="1" selected="0">
            <x v="1"/>
          </reference>
          <reference field="7" count="1" selected="0">
            <x v="0"/>
          </reference>
        </references>
      </pivotArea>
    </chartFormat>
    <chartFormat chart="0" format="4">
      <pivotArea type="data" outline="0" fieldPosition="0">
        <references count="3">
          <reference field="4294967294" count="1" selected="0">
            <x v="0"/>
          </reference>
          <reference field="4" count="1" selected="0">
            <x v="0"/>
          </reference>
          <reference field="7" count="1" selected="0">
            <x v="0"/>
          </reference>
        </references>
      </pivotArea>
    </chartFormat>
    <chartFormat chart="0" format="5">
      <pivotArea type="data" outline="0" fieldPosition="0">
        <references count="3">
          <reference field="4294967294" count="1" selected="0">
            <x v="0"/>
          </reference>
          <reference field="4" count="1" selected="0">
            <x v="0"/>
          </reference>
          <reference field="7" count="1" selected="0">
            <x v="1"/>
          </reference>
        </references>
      </pivotArea>
    </chartFormat>
    <chartFormat chart="0" format="6">
      <pivotArea type="data" outline="0" fieldPosition="0">
        <references count="3">
          <reference field="4294967294" count="1" selected="0">
            <x v="0"/>
          </reference>
          <reference field="4" count="1" selected="0">
            <x v="0"/>
          </reference>
          <reference field="7" count="1" selected="0">
            <x v="2"/>
          </reference>
        </references>
      </pivotArea>
    </chartFormat>
    <chartFormat chart="0" format="7">
      <pivotArea type="data" outline="0" fieldPosition="0">
        <references count="3">
          <reference field="4294967294" count="1" selected="0">
            <x v="0"/>
          </reference>
          <reference field="4" count="1" selected="0">
            <x v="1"/>
          </reference>
          <reference field="7" count="1" selected="0">
            <x v="2"/>
          </reference>
        </references>
      </pivotArea>
    </chartFormat>
    <chartFormat chart="0" format="8">
      <pivotArea type="data" outline="0" fieldPosition="0">
        <references count="3">
          <reference field="4294967294" count="1" selected="0">
            <x v="0"/>
          </reference>
          <reference field="4" count="1" selected="0">
            <x v="1"/>
          </reference>
          <reference field="7" count="1" selected="0">
            <x v="3"/>
          </reference>
        </references>
      </pivotArea>
    </chartFormat>
    <chartFormat chart="0" format="9">
      <pivotArea type="data" outline="0" fieldPosition="0">
        <references count="3">
          <reference field="4294967294" count="1" selected="0">
            <x v="0"/>
          </reference>
          <reference field="4" count="1" selected="0">
            <x v="0"/>
          </reference>
          <reference field="7" count="1" selected="0">
            <x v="4"/>
          </reference>
        </references>
      </pivotArea>
    </chartFormat>
    <chartFormat chart="0" format="10">
      <pivotArea type="data" outline="0" fieldPosition="0">
        <references count="3">
          <reference field="4294967294" count="1" selected="0">
            <x v="0"/>
          </reference>
          <reference field="4" count="1" selected="0">
            <x v="1"/>
          </reference>
          <reference field="7" count="1" selected="0">
            <x v="1"/>
          </reference>
        </references>
      </pivotArea>
    </chartFormat>
    <chartFormat chart="2" format="22" series="1">
      <pivotArea type="data" outline="0" fieldPosition="0">
        <references count="2">
          <reference field="4294967294" count="1" selected="0">
            <x v="0"/>
          </reference>
          <reference field="4" count="1" selected="0">
            <x v="0"/>
          </reference>
        </references>
      </pivotArea>
    </chartFormat>
    <chartFormat chart="2" format="23">
      <pivotArea type="data" outline="0" fieldPosition="0">
        <references count="3">
          <reference field="4294967294" count="1" selected="0">
            <x v="0"/>
          </reference>
          <reference field="4" count="1" selected="0">
            <x v="0"/>
          </reference>
          <reference field="7" count="1" selected="0">
            <x v="0"/>
          </reference>
        </references>
      </pivotArea>
    </chartFormat>
    <chartFormat chart="2" format="24">
      <pivotArea type="data" outline="0" fieldPosition="0">
        <references count="3">
          <reference field="4294967294" count="1" selected="0">
            <x v="0"/>
          </reference>
          <reference field="4" count="1" selected="0">
            <x v="0"/>
          </reference>
          <reference field="7" count="1" selected="0">
            <x v="1"/>
          </reference>
        </references>
      </pivotArea>
    </chartFormat>
    <chartFormat chart="2" format="25">
      <pivotArea type="data" outline="0" fieldPosition="0">
        <references count="3">
          <reference field="4294967294" count="1" selected="0">
            <x v="0"/>
          </reference>
          <reference field="4" count="1" selected="0">
            <x v="0"/>
          </reference>
          <reference field="7" count="1" selected="0">
            <x v="2"/>
          </reference>
        </references>
      </pivotArea>
    </chartFormat>
    <chartFormat chart="2" format="26">
      <pivotArea type="data" outline="0" fieldPosition="0">
        <references count="3">
          <reference field="4294967294" count="1" selected="0">
            <x v="0"/>
          </reference>
          <reference field="4" count="1" selected="0">
            <x v="0"/>
          </reference>
          <reference field="7" count="1" selected="0">
            <x v="4"/>
          </reference>
        </references>
      </pivotArea>
    </chartFormat>
    <chartFormat chart="2" format="27" series="1">
      <pivotArea type="data" outline="0" fieldPosition="0">
        <references count="2">
          <reference field="4294967294" count="1" selected="0">
            <x v="0"/>
          </reference>
          <reference field="4" count="1" selected="0">
            <x v="1"/>
          </reference>
        </references>
      </pivotArea>
    </chartFormat>
    <chartFormat chart="2" format="28">
      <pivotArea type="data" outline="0" fieldPosition="0">
        <references count="3">
          <reference field="4294967294" count="1" selected="0">
            <x v="0"/>
          </reference>
          <reference field="4" count="1" selected="0">
            <x v="1"/>
          </reference>
          <reference field="7" count="1" selected="0">
            <x v="0"/>
          </reference>
        </references>
      </pivotArea>
    </chartFormat>
    <chartFormat chart="2" format="29">
      <pivotArea type="data" outline="0" fieldPosition="0">
        <references count="3">
          <reference field="4294967294" count="1" selected="0">
            <x v="0"/>
          </reference>
          <reference field="4" count="1" selected="0">
            <x v="1"/>
          </reference>
          <reference field="7" count="1" selected="0">
            <x v="1"/>
          </reference>
        </references>
      </pivotArea>
    </chartFormat>
    <chartFormat chart="2" format="30">
      <pivotArea type="data" outline="0" fieldPosition="0">
        <references count="3">
          <reference field="4294967294" count="1" selected="0">
            <x v="0"/>
          </reference>
          <reference field="4" count="1" selected="0">
            <x v="1"/>
          </reference>
          <reference field="7" count="1" selected="0">
            <x v="2"/>
          </reference>
        </references>
      </pivotArea>
    </chartFormat>
    <chartFormat chart="2" format="31">
      <pivotArea type="data" outline="0" fieldPosition="0">
        <references count="3">
          <reference field="4294967294" count="1" selected="0">
            <x v="0"/>
          </reference>
          <reference field="4" count="1" selected="0">
            <x v="1"/>
          </reference>
          <reference field="7" count="1" selected="0">
            <x v="3"/>
          </reference>
        </references>
      </pivotArea>
    </chartFormat>
    <chartFormat chart="2" format="32">
      <pivotArea type="data" outline="0" fieldPosition="0">
        <references count="3">
          <reference field="4294967294" count="1" selected="0">
            <x v="0"/>
          </reference>
          <reference field="4" count="1" selected="0">
            <x v="1"/>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DE4EC2-7335-4EFE-8936-1A177409074C}" name="PivotTable22" cacheId="7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B156:C161" firstHeaderRow="1" firstDataRow="1" firstDataCol="1"/>
  <pivotFields count="15">
    <pivotField showAll="0"/>
    <pivotField showAll="0"/>
    <pivotField showAll="0"/>
    <pivotField showAll="0"/>
    <pivotField showAll="0"/>
    <pivotField showAll="0"/>
    <pivotField showAll="0">
      <items count="7">
        <item x="0"/>
        <item x="1"/>
        <item x="4"/>
        <item x="3"/>
        <item x="5"/>
        <item x="2"/>
        <item t="default"/>
      </items>
    </pivotField>
    <pivotField axis="axisRow" showAll="0">
      <items count="6">
        <item x="1"/>
        <item x="4"/>
        <item x="2"/>
        <item x="3"/>
        <item x="0"/>
        <item t="default"/>
      </items>
    </pivotField>
    <pivotField numFmtId="14" showAll="0"/>
    <pivotField dataField="1" numFmtId="164" showAll="0"/>
    <pivotField showAll="0"/>
    <pivotField showAll="0"/>
    <pivotField showAll="0"/>
    <pivotField showAll="0"/>
    <pivotField showAll="0"/>
  </pivotFields>
  <rowFields count="1">
    <field x="7"/>
  </rowFields>
  <rowItems count="5">
    <i>
      <x/>
    </i>
    <i>
      <x v="1"/>
    </i>
    <i>
      <x v="2"/>
    </i>
    <i>
      <x v="3"/>
    </i>
    <i>
      <x v="4"/>
    </i>
  </rowItems>
  <colItems count="1">
    <i/>
  </colItems>
  <dataFields count="1">
    <dataField name="Average of Salary" fld="9" subtotal="average" baseField="7" baseItem="0"/>
  </dataFields>
  <formats count="1">
    <format dxfId="3">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8027EC-40CF-4942-89BF-D98A13D86E46}" name="PivotTable21" cacheId="7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location ref="G142:H148" firstHeaderRow="1" firstDataRow="1" firstDataCol="1" rowPageCount="1" colPageCount="1"/>
  <pivotFields count="15">
    <pivotField showAll="0"/>
    <pivotField showAll="0"/>
    <pivotField showAll="0"/>
    <pivotField showAll="0"/>
    <pivotField showAll="0"/>
    <pivotField showAll="0"/>
    <pivotField axis="axisRow" showAll="0" sortType="descending">
      <items count="7">
        <item x="0"/>
        <item x="1"/>
        <item x="4"/>
        <item x="3"/>
        <item x="5"/>
        <item x="2"/>
        <item t="default"/>
      </items>
      <autoSortScope>
        <pivotArea dataOnly="0" outline="0" fieldPosition="0">
          <references count="1">
            <reference field="4294967294" count="1" selected="0">
              <x v="0"/>
            </reference>
          </references>
        </pivotArea>
      </autoSortScope>
    </pivotField>
    <pivotField showAll="0"/>
    <pivotField numFmtId="14" showAll="0"/>
    <pivotField dataField="1" numFmtId="164" showAll="0"/>
    <pivotField showAll="0"/>
    <pivotField showAll="0"/>
    <pivotField axis="axisPage" showAll="0">
      <items count="3">
        <item x="0"/>
        <item x="1"/>
        <item t="default"/>
      </items>
    </pivotField>
    <pivotField showAll="0"/>
    <pivotField showAll="0"/>
  </pivotFields>
  <rowFields count="1">
    <field x="6"/>
  </rowFields>
  <rowItems count="6">
    <i>
      <x v="3"/>
    </i>
    <i>
      <x v="1"/>
    </i>
    <i>
      <x v="2"/>
    </i>
    <i>
      <x v="4"/>
    </i>
    <i>
      <x/>
    </i>
    <i>
      <x v="5"/>
    </i>
  </rowItems>
  <colItems count="1">
    <i/>
  </colItems>
  <pageFields count="1">
    <pageField fld="12" item="0" hier="-1"/>
  </pageFields>
  <dataFields count="1">
    <dataField name="Average of Salary" fld="9" subtotal="average" baseField="6" baseItem="0" numFmtId="164"/>
  </dataFields>
  <formats count="1">
    <format dxfId="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57DCC0-5827-4BDC-92A4-9021A775A754}" name="PivotTable20"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1:Q139" firstHeaderRow="1" firstDataRow="2" firstDataCol="1" rowPageCount="1" colPageCount="1"/>
  <pivotFields count="15">
    <pivotField showAll="0"/>
    <pivotField showAll="0"/>
    <pivotField showAll="0"/>
    <pivotField showAll="0"/>
    <pivotField showAll="0"/>
    <pivotField showAll="0"/>
    <pivotField axis="axisRow" showAll="0">
      <items count="7">
        <item x="0"/>
        <item x="1"/>
        <item x="4"/>
        <item x="3"/>
        <item x="5"/>
        <item x="2"/>
        <item t="default"/>
      </items>
    </pivotField>
    <pivotField showAll="0"/>
    <pivotField numFmtId="14" showAll="0"/>
    <pivotField numFmtId="164" showAll="0"/>
    <pivotField dataField="1" showAll="0"/>
    <pivotField showAll="0"/>
    <pivotField axis="axisPage" showAll="0">
      <items count="3">
        <item x="0"/>
        <item x="1"/>
        <item t="default"/>
      </items>
    </pivotField>
    <pivotField showAll="0"/>
    <pivotField axis="axisCol" showAll="0">
      <items count="17">
        <item x="5"/>
        <item x="4"/>
        <item x="10"/>
        <item x="3"/>
        <item x="7"/>
        <item x="2"/>
        <item x="8"/>
        <item x="13"/>
        <item x="11"/>
        <item x="14"/>
        <item x="9"/>
        <item x="1"/>
        <item x="0"/>
        <item x="12"/>
        <item x="6"/>
        <item x="15"/>
        <item t="default"/>
      </items>
    </pivotField>
  </pivotFields>
  <rowFields count="1">
    <field x="6"/>
  </rowFields>
  <rowItems count="7">
    <i>
      <x/>
    </i>
    <i>
      <x v="1"/>
    </i>
    <i>
      <x v="2"/>
    </i>
    <i>
      <x v="3"/>
    </i>
    <i>
      <x v="4"/>
    </i>
    <i>
      <x v="5"/>
    </i>
    <i t="grand">
      <x/>
    </i>
  </rowItems>
  <colFields count="1">
    <field x="14"/>
  </colFields>
  <colItems count="16">
    <i>
      <x/>
    </i>
    <i>
      <x v="1"/>
    </i>
    <i>
      <x v="2"/>
    </i>
    <i>
      <x v="3"/>
    </i>
    <i>
      <x v="4"/>
    </i>
    <i>
      <x v="5"/>
    </i>
    <i>
      <x v="6"/>
    </i>
    <i>
      <x v="7"/>
    </i>
    <i>
      <x v="8"/>
    </i>
    <i>
      <x v="9"/>
    </i>
    <i>
      <x v="10"/>
    </i>
    <i>
      <x v="11"/>
    </i>
    <i>
      <x v="12"/>
    </i>
    <i>
      <x v="13"/>
    </i>
    <i>
      <x v="14"/>
    </i>
    <i t="grand">
      <x/>
    </i>
  </colItems>
  <pageFields count="1">
    <pageField fld="12" item="0" hier="-1"/>
  </pageFields>
  <dataFields count="1">
    <dataField name="Sum of PerformanceScor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DF8789-5E68-41F3-B114-0520F1AEDFFA}" name="PivotTable17"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117:K124" firstHeaderRow="1" firstDataRow="1" firstDataCol="1" rowPageCount="1" colPageCount="1"/>
  <pivotFields count="15">
    <pivotField showAll="0"/>
    <pivotField showAll="0"/>
    <pivotField showAll="0"/>
    <pivotField showAll="0"/>
    <pivotField showAll="0"/>
    <pivotField showAll="0"/>
    <pivotField axis="axisRow" showAll="0" sortType="descending">
      <items count="7">
        <item x="0"/>
        <item x="1"/>
        <item x="4"/>
        <item x="3"/>
        <item x="5"/>
        <item x="2"/>
        <item t="default"/>
      </items>
      <autoSortScope>
        <pivotArea dataOnly="0" outline="0" fieldPosition="0">
          <references count="1">
            <reference field="4294967294" count="1" selected="0">
              <x v="0"/>
            </reference>
          </references>
        </pivotArea>
      </autoSortScope>
    </pivotField>
    <pivotField showAll="0"/>
    <pivotField numFmtId="14" showAll="0"/>
    <pivotField numFmtId="164" showAll="0"/>
    <pivotField dataField="1" showAll="0"/>
    <pivotField showAll="0"/>
    <pivotField axis="axisPage" showAll="0">
      <items count="3">
        <item x="0"/>
        <item x="1"/>
        <item t="default"/>
      </items>
    </pivotField>
    <pivotField showAll="0"/>
    <pivotField showAll="0"/>
  </pivotFields>
  <rowFields count="1">
    <field x="6"/>
  </rowFields>
  <rowItems count="7">
    <i>
      <x v="5"/>
    </i>
    <i>
      <x v="4"/>
    </i>
    <i>
      <x v="3"/>
    </i>
    <i>
      <x v="2"/>
    </i>
    <i>
      <x/>
    </i>
    <i>
      <x v="1"/>
    </i>
    <i t="grand">
      <x/>
    </i>
  </rowItems>
  <colItems count="1">
    <i/>
  </colItems>
  <pageFields count="1">
    <pageField fld="12" item="0" hier="-1"/>
  </pageFields>
  <dataFields count="1">
    <dataField name="Average of PerformanceScore" fld="10" subtotal="average" baseField="6" baseItem="0"/>
  </dataFields>
  <formats count="2">
    <format dxfId="6">
      <pivotArea collapsedLevelsAreSubtotals="1" fieldPosition="0">
        <references count="1">
          <reference field="6" count="0"/>
        </references>
      </pivotArea>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C2F58E-4DCB-4F75-94E9-C4AA4C28F577}" name="PivotTable14" cacheId="73"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location ref="D101:F107" firstHeaderRow="1" firstDataRow="2" firstDataCol="1" rowPageCount="1" colPageCount="1"/>
  <pivotFields count="15">
    <pivotField dataField="1" showAll="0"/>
    <pivotField showAll="0"/>
    <pivotField showAll="0"/>
    <pivotField showAll="0"/>
    <pivotField axis="axisCol" showAll="0">
      <items count="3">
        <item x="0"/>
        <item x="1"/>
        <item t="default"/>
      </items>
    </pivotField>
    <pivotField showAll="0"/>
    <pivotField showAll="0">
      <items count="7">
        <item x="0"/>
        <item x="1"/>
        <item x="4"/>
        <item x="3"/>
        <item x="5"/>
        <item x="2"/>
        <item t="default"/>
      </items>
    </pivotField>
    <pivotField showAll="0"/>
    <pivotField numFmtId="14" showAll="0"/>
    <pivotField numFmtId="164" showAll="0"/>
    <pivotField showAll="0"/>
    <pivotField showAll="0"/>
    <pivotField axis="axisPage" showAll="0">
      <items count="3">
        <item x="0"/>
        <item x="1"/>
        <item t="default"/>
      </items>
    </pivotField>
    <pivotField axis="axisRow" showAll="0">
      <items count="5">
        <item x="2"/>
        <item x="0"/>
        <item x="1"/>
        <item x="3"/>
        <item t="default"/>
      </items>
    </pivotField>
    <pivotField showAll="0"/>
  </pivotFields>
  <rowFields count="1">
    <field x="13"/>
  </rowFields>
  <rowItems count="5">
    <i>
      <x/>
    </i>
    <i>
      <x v="1"/>
    </i>
    <i>
      <x v="2"/>
    </i>
    <i>
      <x v="3"/>
    </i>
    <i t="grand">
      <x/>
    </i>
  </rowItems>
  <colFields count="1">
    <field x="4"/>
  </colFields>
  <colItems count="2">
    <i>
      <x/>
    </i>
    <i>
      <x v="1"/>
    </i>
  </colItems>
  <pageFields count="1">
    <pageField fld="12" item="0" hier="-1"/>
  </pageField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731651-C09F-4BB6-8389-AFACA91C4C94}" name="PivotTable5" cacheId="7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D21:E31" firstHeaderRow="1" firstDataRow="1" firstDataCol="1" rowPageCount="1" colPageCount="1"/>
  <pivotFields count="15">
    <pivotField showAll="0"/>
    <pivotField showAll="0"/>
    <pivotField showAll="0"/>
    <pivotField axis="axisRow" showAll="0" measureFilter="1" sortType="descending">
      <items count="302">
        <item x="78"/>
        <item x="45"/>
        <item x="135"/>
        <item x="210"/>
        <item x="185"/>
        <item x="201"/>
        <item x="266"/>
        <item x="277"/>
        <item x="262"/>
        <item x="279"/>
        <item x="155"/>
        <item x="105"/>
        <item x="263"/>
        <item x="221"/>
        <item x="47"/>
        <item x="16"/>
        <item x="181"/>
        <item x="271"/>
        <item x="80"/>
        <item x="249"/>
        <item x="55"/>
        <item x="254"/>
        <item x="110"/>
        <item x="216"/>
        <item x="276"/>
        <item x="59"/>
        <item x="15"/>
        <item x="189"/>
        <item x="180"/>
        <item x="214"/>
        <item x="145"/>
        <item x="240"/>
        <item x="149"/>
        <item x="127"/>
        <item x="38"/>
        <item x="224"/>
        <item x="297"/>
        <item x="225"/>
        <item x="194"/>
        <item x="204"/>
        <item x="213"/>
        <item x="113"/>
        <item x="26"/>
        <item x="234"/>
        <item x="163"/>
        <item x="235"/>
        <item x="280"/>
        <item x="141"/>
        <item x="261"/>
        <item x="290"/>
        <item x="190"/>
        <item x="130"/>
        <item x="126"/>
        <item x="264"/>
        <item x="205"/>
        <item x="84"/>
        <item x="182"/>
        <item x="52"/>
        <item x="116"/>
        <item x="260"/>
        <item x="259"/>
        <item x="14"/>
        <item x="212"/>
        <item x="195"/>
        <item x="13"/>
        <item x="171"/>
        <item x="95"/>
        <item x="174"/>
        <item x="192"/>
        <item x="244"/>
        <item x="233"/>
        <item x="79"/>
        <item x="24"/>
        <item x="65"/>
        <item x="69"/>
        <item x="87"/>
        <item x="111"/>
        <item x="29"/>
        <item x="50"/>
        <item x="206"/>
        <item x="156"/>
        <item x="278"/>
        <item x="265"/>
        <item x="267"/>
        <item x="142"/>
        <item x="165"/>
        <item x="269"/>
        <item x="106"/>
        <item x="72"/>
        <item x="97"/>
        <item x="222"/>
        <item x="281"/>
        <item x="274"/>
        <item x="257"/>
        <item x="117"/>
        <item x="107"/>
        <item x="207"/>
        <item x="168"/>
        <item x="250"/>
        <item x="166"/>
        <item x="196"/>
        <item x="114"/>
        <item x="287"/>
        <item x="71"/>
        <item x="53"/>
        <item x="74"/>
        <item x="299"/>
        <item x="86"/>
        <item x="4"/>
        <item x="133"/>
        <item x="162"/>
        <item x="19"/>
        <item x="232"/>
        <item x="93"/>
        <item x="30"/>
        <item x="284"/>
        <item x="27"/>
        <item x="226"/>
        <item x="298"/>
        <item x="85"/>
        <item x="103"/>
        <item x="118"/>
        <item x="34"/>
        <item x="39"/>
        <item x="109"/>
        <item x="245"/>
        <item x="23"/>
        <item x="151"/>
        <item x="119"/>
        <item x="186"/>
        <item x="54"/>
        <item x="41"/>
        <item x="35"/>
        <item x="9"/>
        <item x="177"/>
        <item x="100"/>
        <item x="147"/>
        <item x="68"/>
        <item x="104"/>
        <item x="200"/>
        <item x="139"/>
        <item x="236"/>
        <item x="123"/>
        <item x="101"/>
        <item x="129"/>
        <item x="252"/>
        <item x="5"/>
        <item x="296"/>
        <item x="152"/>
        <item x="158"/>
        <item x="136"/>
        <item x="292"/>
        <item x="131"/>
        <item x="148"/>
        <item x="172"/>
        <item x="132"/>
        <item x="61"/>
        <item x="18"/>
        <item x="238"/>
        <item x="246"/>
        <item x="209"/>
        <item x="198"/>
        <item x="153"/>
        <item x="76"/>
        <item x="44"/>
        <item x="94"/>
        <item x="121"/>
        <item x="108"/>
        <item x="242"/>
        <item x="143"/>
        <item x="73"/>
        <item x="33"/>
        <item x="167"/>
        <item x="199"/>
        <item x="220"/>
        <item x="173"/>
        <item x="283"/>
        <item x="286"/>
        <item x="99"/>
        <item x="229"/>
        <item x="8"/>
        <item x="247"/>
        <item x="75"/>
        <item x="272"/>
        <item x="294"/>
        <item x="202"/>
        <item x="82"/>
        <item x="248"/>
        <item x="258"/>
        <item x="193"/>
        <item x="285"/>
        <item x="219"/>
        <item x="7"/>
        <item x="228"/>
        <item x="251"/>
        <item x="184"/>
        <item x="66"/>
        <item x="268"/>
        <item x="157"/>
        <item x="2"/>
        <item x="295"/>
        <item x="6"/>
        <item x="211"/>
        <item x="58"/>
        <item x="51"/>
        <item x="37"/>
        <item x="21"/>
        <item x="160"/>
        <item x="32"/>
        <item x="138"/>
        <item x="218"/>
        <item x="291"/>
        <item x="17"/>
        <item x="217"/>
        <item x="270"/>
        <item x="188"/>
        <item x="128"/>
        <item x="159"/>
        <item x="36"/>
        <item x="203"/>
        <item x="134"/>
        <item x="83"/>
        <item x="161"/>
        <item x="57"/>
        <item x="178"/>
        <item x="89"/>
        <item x="25"/>
        <item x="3"/>
        <item x="255"/>
        <item x="112"/>
        <item x="223"/>
        <item x="63"/>
        <item x="62"/>
        <item x="183"/>
        <item x="253"/>
        <item x="88"/>
        <item x="175"/>
        <item x="1"/>
        <item x="140"/>
        <item x="176"/>
        <item x="144"/>
        <item x="98"/>
        <item x="42"/>
        <item x="31"/>
        <item x="20"/>
        <item x="256"/>
        <item x="273"/>
        <item x="230"/>
        <item x="282"/>
        <item x="179"/>
        <item x="122"/>
        <item x="289"/>
        <item x="275"/>
        <item x="231"/>
        <item x="91"/>
        <item x="11"/>
        <item x="43"/>
        <item x="90"/>
        <item x="77"/>
        <item x="241"/>
        <item x="40"/>
        <item x="48"/>
        <item x="170"/>
        <item x="169"/>
        <item x="28"/>
        <item x="239"/>
        <item x="154"/>
        <item x="243"/>
        <item x="150"/>
        <item x="81"/>
        <item x="96"/>
        <item x="125"/>
        <item x="227"/>
        <item x="187"/>
        <item x="208"/>
        <item x="0"/>
        <item x="146"/>
        <item x="12"/>
        <item x="288"/>
        <item x="60"/>
        <item x="46"/>
        <item x="164"/>
        <item x="92"/>
        <item x="102"/>
        <item x="70"/>
        <item x="22"/>
        <item x="137"/>
        <item x="49"/>
        <item x="124"/>
        <item x="215"/>
        <item x="67"/>
        <item x="293"/>
        <item x="10"/>
        <item x="120"/>
        <item x="115"/>
        <item x="191"/>
        <item x="197"/>
        <item x="64"/>
        <item x="56"/>
        <item x="237"/>
        <item m="1" x="30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4"/>
        <item x="3"/>
        <item x="5"/>
        <item x="2"/>
        <item t="default"/>
      </items>
    </pivotField>
    <pivotField showAll="0"/>
    <pivotField numFmtId="14" showAll="0"/>
    <pivotField dataField="1" numFmtId="164" showAll="0"/>
    <pivotField showAll="0"/>
    <pivotField showAll="0"/>
    <pivotField axis="axisPage" showAll="0">
      <items count="3">
        <item x="0"/>
        <item x="1"/>
        <item t="default"/>
      </items>
    </pivotField>
    <pivotField showAll="0"/>
    <pivotField showAll="0"/>
  </pivotFields>
  <rowFields count="1">
    <field x="3"/>
  </rowFields>
  <rowItems count="10">
    <i>
      <x v="262"/>
    </i>
    <i>
      <x v="24"/>
    </i>
    <i>
      <x v="192"/>
    </i>
    <i>
      <x v="278"/>
    </i>
    <i>
      <x v="180"/>
    </i>
    <i>
      <x v="26"/>
    </i>
    <i>
      <x v="96"/>
    </i>
    <i>
      <x v="173"/>
    </i>
    <i>
      <x v="25"/>
    </i>
    <i>
      <x v="165"/>
    </i>
  </rowItems>
  <colItems count="1">
    <i/>
  </colItems>
  <pageFields count="1">
    <pageField fld="12" item="0" hier="-1"/>
  </pageFields>
  <dataFields count="1">
    <dataField name="Sum of Salary" fld="9" baseField="0" baseItem="0" numFmtId="164"/>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C44FAF-AFEB-418B-A10E-B2B62F90686F}" name="PivotTable10"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36:H39" firstHeaderRow="1" firstDataRow="1" firstDataCol="1"/>
  <pivotFields count="15">
    <pivotField dataField="1" showAll="0"/>
    <pivotField showAll="0"/>
    <pivotField showAll="0"/>
    <pivotField showAll="0"/>
    <pivotField showAll="0"/>
    <pivotField showAll="0"/>
    <pivotField showAll="0">
      <items count="7">
        <item x="0"/>
        <item x="1"/>
        <item x="4"/>
        <item x="3"/>
        <item x="5"/>
        <item x="2"/>
        <item t="default"/>
      </items>
    </pivotField>
    <pivotField showAll="0"/>
    <pivotField numFmtId="14" showAll="0"/>
    <pivotField numFmtId="164" showAll="0"/>
    <pivotField showAll="0"/>
    <pivotField showAll="0"/>
    <pivotField axis="axisRow"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EmployeeID" fld="0" subtotal="count" showDataAs="percentOfTotal" baseField="0" baseItem="0" numFmtId="9"/>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56D59C-A32A-4C6D-81AC-60FC1FEDD551}" name="PivotTable3"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1:D12" firstHeaderRow="1" firstDataRow="1" firstDataCol="0" rowPageCount="1" colPageCount="1"/>
  <pivotFields count="15">
    <pivotField dataField="1" showAll="0"/>
    <pivotField showAll="0"/>
    <pivotField showAll="0"/>
    <pivotField showAll="0"/>
    <pivotField showAll="0"/>
    <pivotField showAll="0"/>
    <pivotField showAll="0">
      <items count="7">
        <item x="0"/>
        <item x="1"/>
        <item x="4"/>
        <item x="3"/>
        <item x="5"/>
        <item x="2"/>
        <item t="default"/>
      </items>
    </pivotField>
    <pivotField showAll="0"/>
    <pivotField numFmtId="14" showAll="0"/>
    <pivotField numFmtId="164" showAll="0"/>
    <pivotField showAll="0"/>
    <pivotField showAll="0"/>
    <pivotField axis="axisPage" showAll="0">
      <items count="3">
        <item x="0"/>
        <item x="1"/>
        <item t="default"/>
      </items>
    </pivotField>
    <pivotField showAll="0"/>
    <pivotField showAll="0"/>
  </pivotFields>
  <rowItems count="1">
    <i/>
  </rowItems>
  <colItems count="1">
    <i/>
  </colItems>
  <pageFields count="1">
    <pageField fld="12" item="1" hier="-1"/>
  </pageField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23F489-690B-42F2-823E-ACD5EE30D843}" name="PivotTable9"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24:H30" firstHeaderRow="1" firstDataRow="1" firstDataCol="1" rowPageCount="1" colPageCount="1"/>
  <pivotFields count="15">
    <pivotField dataField="1" showAll="0"/>
    <pivotField showAll="0"/>
    <pivotField showAll="0"/>
    <pivotField showAll="0"/>
    <pivotField showAll="0"/>
    <pivotField showAll="0"/>
    <pivotField showAll="0">
      <items count="7">
        <item x="0"/>
        <item x="1"/>
        <item x="4"/>
        <item x="3"/>
        <item x="5"/>
        <item x="2"/>
        <item t="default"/>
      </items>
    </pivotField>
    <pivotField axis="axisRow" showAll="0">
      <items count="6">
        <item x="1"/>
        <item x="4"/>
        <item x="2"/>
        <item x="3"/>
        <item x="0"/>
        <item t="default"/>
      </items>
    </pivotField>
    <pivotField numFmtId="14" showAll="0"/>
    <pivotField numFmtId="164" showAll="0"/>
    <pivotField showAll="0"/>
    <pivotField showAll="0"/>
    <pivotField axis="axisPage" showAll="0">
      <items count="3">
        <item x="0"/>
        <item x="1"/>
        <item t="default"/>
      </items>
    </pivotField>
    <pivotField showAll="0"/>
    <pivotField showAll="0"/>
  </pivotFields>
  <rowFields count="1">
    <field x="7"/>
  </rowFields>
  <rowItems count="6">
    <i>
      <x/>
    </i>
    <i>
      <x v="1"/>
    </i>
    <i>
      <x v="2"/>
    </i>
    <i>
      <x v="3"/>
    </i>
    <i>
      <x v="4"/>
    </i>
    <i t="grand">
      <x/>
    </i>
  </rowItems>
  <colItems count="1">
    <i/>
  </colItems>
  <pageFields count="1">
    <pageField fld="12" item="0" hier="-1"/>
  </pageField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BCD2C3-7BC7-4011-BD12-D28FBF9E4CAD}" name="PivotTable2"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4:D5" firstHeaderRow="1" firstDataRow="1" firstDataCol="0" rowPageCount="1" colPageCount="1"/>
  <pivotFields count="15">
    <pivotField dataField="1" showAll="0"/>
    <pivotField showAll="0"/>
    <pivotField showAll="0"/>
    <pivotField showAll="0"/>
    <pivotField showAll="0"/>
    <pivotField showAll="0"/>
    <pivotField showAll="0">
      <items count="7">
        <item x="0"/>
        <item x="1"/>
        <item x="4"/>
        <item x="3"/>
        <item x="5"/>
        <item x="2"/>
        <item t="default"/>
      </items>
    </pivotField>
    <pivotField showAll="0"/>
    <pivotField numFmtId="14" showAll="0"/>
    <pivotField numFmtId="164" showAll="0"/>
    <pivotField showAll="0"/>
    <pivotField showAll="0"/>
    <pivotField axis="axisPage" showAll="0">
      <items count="3">
        <item x="0"/>
        <item x="1"/>
        <item t="default"/>
      </items>
    </pivotField>
    <pivotField showAll="0"/>
    <pivotField showAll="0"/>
  </pivotFields>
  <rowItems count="1">
    <i/>
  </rowItems>
  <colItems count="1">
    <i/>
  </colItems>
  <pageFields count="1">
    <pageField fld="12" item="0" hier="-1"/>
  </pageField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129BF4-7B86-4B52-8101-2C1F3C2FA59C}" name="PivotTable8" cacheId="73"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6">
  <location ref="G14:I20" firstHeaderRow="1" firstDataRow="2" firstDataCol="1" rowPageCount="1" colPageCount="1"/>
  <pivotFields count="15">
    <pivotField dataField="1" showAll="0"/>
    <pivotField showAll="0"/>
    <pivotField showAll="0"/>
    <pivotField showAll="0"/>
    <pivotField axis="axisCol" showAll="0">
      <items count="3">
        <item x="0"/>
        <item x="1"/>
        <item t="default"/>
      </items>
    </pivotField>
    <pivotField showAll="0"/>
    <pivotField showAll="0">
      <items count="7">
        <item x="0"/>
        <item x="1"/>
        <item x="4"/>
        <item x="3"/>
        <item x="5"/>
        <item x="2"/>
        <item t="default"/>
      </items>
    </pivotField>
    <pivotField showAll="0"/>
    <pivotField numFmtId="14" showAll="0"/>
    <pivotField numFmtId="164" showAll="0"/>
    <pivotField showAll="0"/>
    <pivotField showAll="0"/>
    <pivotField axis="axisPage" showAll="0">
      <items count="3">
        <item x="0"/>
        <item x="1"/>
        <item t="default"/>
      </items>
    </pivotField>
    <pivotField axis="axisRow" showAll="0">
      <items count="5">
        <item x="2"/>
        <item x="0"/>
        <item x="1"/>
        <item x="3"/>
        <item t="default"/>
      </items>
    </pivotField>
    <pivotField showAll="0"/>
  </pivotFields>
  <rowFields count="1">
    <field x="13"/>
  </rowFields>
  <rowItems count="5">
    <i>
      <x/>
    </i>
    <i>
      <x v="1"/>
    </i>
    <i>
      <x v="2"/>
    </i>
    <i>
      <x v="3"/>
    </i>
    <i t="grand">
      <x/>
    </i>
  </rowItems>
  <colFields count="1">
    <field x="4"/>
  </colFields>
  <colItems count="2">
    <i>
      <x/>
    </i>
    <i>
      <x v="1"/>
    </i>
  </colItems>
  <pageFields count="1">
    <pageField fld="12" item="1" hier="-1"/>
  </pageFields>
  <dataFields count="1">
    <dataField name="Count of EmployeeID" fld="0" subtotal="count" baseField="0" baseItem="0"/>
  </dataFields>
  <chartFormats count="2">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B00F4A-B402-4E01-BD0B-0D513D80A762}" name="PivotTable13"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84:E91" firstHeaderRow="1" firstDataRow="1" firstDataCol="1" rowPageCount="1" colPageCount="1"/>
  <pivotFields count="15">
    <pivotField dataField="1" showAll="0"/>
    <pivotField showAll="0"/>
    <pivotField showAll="0"/>
    <pivotField showAll="0"/>
    <pivotField showAll="0"/>
    <pivotField showAll="0"/>
    <pivotField axis="axisRow" showAll="0">
      <items count="7">
        <item x="0"/>
        <item x="1"/>
        <item x="4"/>
        <item x="3"/>
        <item x="5"/>
        <item x="2"/>
        <item t="default"/>
      </items>
    </pivotField>
    <pivotField showAll="0"/>
    <pivotField numFmtId="14" showAll="0"/>
    <pivotField numFmtId="164" showAll="0"/>
    <pivotField showAll="0"/>
    <pivotField showAll="0"/>
    <pivotField axis="axisPage" showAll="0">
      <items count="3">
        <item x="0"/>
        <item x="1"/>
        <item t="default"/>
      </items>
    </pivotField>
    <pivotField showAll="0"/>
    <pivotField showAll="0"/>
  </pivotFields>
  <rowFields count="1">
    <field x="6"/>
  </rowFields>
  <rowItems count="7">
    <i>
      <x/>
    </i>
    <i>
      <x v="1"/>
    </i>
    <i>
      <x v="2"/>
    </i>
    <i>
      <x v="3"/>
    </i>
    <i>
      <x v="4"/>
    </i>
    <i>
      <x v="5"/>
    </i>
    <i t="grand">
      <x/>
    </i>
  </rowItems>
  <colItems count="1">
    <i/>
  </colItems>
  <pageFields count="1">
    <pageField fld="12" hier="-1"/>
  </pageField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17ADF30-C416-4B6C-A070-0C24A6263A63}" name="PivotTable12"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71:E78" firstHeaderRow="1" firstDataRow="1" firstDataCol="1" rowPageCount="1" colPageCount="1"/>
  <pivotFields count="15">
    <pivotField dataField="1" showAll="0"/>
    <pivotField showAll="0"/>
    <pivotField showAll="0"/>
    <pivotField showAll="0"/>
    <pivotField showAll="0"/>
    <pivotField showAll="0"/>
    <pivotField axis="axisRow" showAll="0">
      <items count="7">
        <item x="0"/>
        <item x="1"/>
        <item x="4"/>
        <item x="3"/>
        <item x="5"/>
        <item x="2"/>
        <item t="default"/>
      </items>
    </pivotField>
    <pivotField showAll="0"/>
    <pivotField numFmtId="14" showAll="0"/>
    <pivotField numFmtId="164" showAll="0"/>
    <pivotField showAll="0"/>
    <pivotField showAll="0"/>
    <pivotField axis="axisPage" showAll="0">
      <items count="3">
        <item x="0"/>
        <item x="1"/>
        <item t="default"/>
      </items>
    </pivotField>
    <pivotField showAll="0"/>
    <pivotField showAll="0"/>
  </pivotFields>
  <rowFields count="1">
    <field x="6"/>
  </rowFields>
  <rowItems count="7">
    <i>
      <x/>
    </i>
    <i>
      <x v="1"/>
    </i>
    <i>
      <x v="2"/>
    </i>
    <i>
      <x v="3"/>
    </i>
    <i>
      <x v="4"/>
    </i>
    <i>
      <x v="5"/>
    </i>
    <i t="grand">
      <x/>
    </i>
  </rowItems>
  <colItems count="1">
    <i/>
  </colItems>
  <pageFields count="1">
    <pageField fld="12" item="1" hier="-1"/>
  </pageField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A918A13-88DE-4866-A98F-4C880B657EC4}" name="PivotTable1"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5">
    <pivotField dataField="1" showAll="0"/>
    <pivotField showAll="0"/>
    <pivotField showAll="0"/>
    <pivotField showAll="0"/>
    <pivotField showAll="0"/>
    <pivotField showAll="0"/>
    <pivotField showAll="0">
      <items count="7">
        <item x="0"/>
        <item x="1"/>
        <item x="4"/>
        <item x="3"/>
        <item x="5"/>
        <item x="2"/>
        <item t="default"/>
      </items>
    </pivotField>
    <pivotField showAll="0"/>
    <pivotField numFmtId="14" showAll="0"/>
    <pivotField numFmtId="164" showAll="0"/>
    <pivotField showAll="0"/>
    <pivotField showAll="0"/>
    <pivotField showAll="0"/>
    <pivotField showAll="0"/>
    <pivotField showAll="0"/>
  </pivotFields>
  <rowItems count="1">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CB316B7-C1FB-412C-9BB0-D97E00678AF5}" name="PivotTable7" cacheId="73"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7">
  <location ref="G3:I11" firstHeaderRow="1" firstDataRow="2" firstDataCol="1" rowPageCount="1" colPageCount="1"/>
  <pivotFields count="15">
    <pivotField dataField="1" showAll="0"/>
    <pivotField showAll="0"/>
    <pivotField showAll="0"/>
    <pivotField showAll="0"/>
    <pivotField axis="axisCol" showAll="0">
      <items count="3">
        <item x="0"/>
        <item x="1"/>
        <item t="default"/>
      </items>
    </pivotField>
    <pivotField showAll="0"/>
    <pivotField axis="axisRow" showAll="0">
      <items count="7">
        <item x="0"/>
        <item x="1"/>
        <item x="4"/>
        <item x="3"/>
        <item x="5"/>
        <item x="2"/>
        <item t="default"/>
      </items>
    </pivotField>
    <pivotField showAll="0"/>
    <pivotField numFmtId="14" showAll="0"/>
    <pivotField numFmtId="164" showAll="0"/>
    <pivotField showAll="0"/>
    <pivotField showAll="0"/>
    <pivotField axis="axisPage" showAll="0">
      <items count="3">
        <item x="0"/>
        <item x="1"/>
        <item t="default"/>
      </items>
    </pivotField>
    <pivotField showAll="0"/>
    <pivotField showAll="0"/>
  </pivotFields>
  <rowFields count="1">
    <field x="6"/>
  </rowFields>
  <rowItems count="7">
    <i>
      <x/>
    </i>
    <i>
      <x v="1"/>
    </i>
    <i>
      <x v="2"/>
    </i>
    <i>
      <x v="3"/>
    </i>
    <i>
      <x v="4"/>
    </i>
    <i>
      <x v="5"/>
    </i>
    <i t="grand">
      <x/>
    </i>
  </rowItems>
  <colFields count="1">
    <field x="4"/>
  </colFields>
  <colItems count="2">
    <i>
      <x/>
    </i>
    <i>
      <x v="1"/>
    </i>
  </colItems>
  <pageFields count="1">
    <pageField fld="12" item="1" hier="-1"/>
  </pageFields>
  <dataFields count="1">
    <dataField name="Count of EmployeeID" fld="0" subtotal="count"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6" format="4" series="1">
      <pivotArea type="data" outline="0" fieldPosition="0">
        <references count="2">
          <reference field="4294967294" count="1" selected="0">
            <x v="0"/>
          </reference>
          <reference field="4" count="1" selected="0">
            <x v="0"/>
          </reference>
        </references>
      </pivotArea>
    </chartFormat>
    <chartFormat chart="6"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CD066CD-D54B-43B9-B89F-3FB18B81EEAC}" name="PivotTable11"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47:G65" firstHeaderRow="1" firstDataRow="2" firstDataCol="1"/>
  <pivotFields count="15">
    <pivotField dataField="1" showAll="0"/>
    <pivotField showAll="0"/>
    <pivotField showAll="0"/>
    <pivotField showAll="0"/>
    <pivotField showAll="0"/>
    <pivotField showAll="0"/>
    <pivotField showAll="0">
      <items count="7">
        <item x="0"/>
        <item x="1"/>
        <item x="4"/>
        <item x="3"/>
        <item x="5"/>
        <item x="2"/>
        <item t="default"/>
      </items>
    </pivotField>
    <pivotField showAll="0"/>
    <pivotField numFmtId="14" showAll="0"/>
    <pivotField numFmtId="164" showAll="0"/>
    <pivotField showAll="0"/>
    <pivotField showAll="0"/>
    <pivotField axis="axisCol" showAll="0">
      <items count="3">
        <item x="0"/>
        <item x="1"/>
        <item t="default"/>
      </items>
    </pivotField>
    <pivotField showAll="0"/>
    <pivotField axis="axisRow" showAll="0">
      <items count="17">
        <item x="5"/>
        <item x="4"/>
        <item x="10"/>
        <item x="3"/>
        <item x="7"/>
        <item x="2"/>
        <item x="8"/>
        <item x="13"/>
        <item x="11"/>
        <item x="14"/>
        <item x="9"/>
        <item x="1"/>
        <item x="0"/>
        <item x="12"/>
        <item x="6"/>
        <item x="15"/>
        <item t="default"/>
      </items>
    </pivotField>
  </pivotFields>
  <rowFields count="1">
    <field x="14"/>
  </rowFields>
  <rowItems count="17">
    <i>
      <x/>
    </i>
    <i>
      <x v="1"/>
    </i>
    <i>
      <x v="2"/>
    </i>
    <i>
      <x v="3"/>
    </i>
    <i>
      <x v="4"/>
    </i>
    <i>
      <x v="5"/>
    </i>
    <i>
      <x v="6"/>
    </i>
    <i>
      <x v="7"/>
    </i>
    <i>
      <x v="8"/>
    </i>
    <i>
      <x v="9"/>
    </i>
    <i>
      <x v="10"/>
    </i>
    <i>
      <x v="11"/>
    </i>
    <i>
      <x v="12"/>
    </i>
    <i>
      <x v="13"/>
    </i>
    <i>
      <x v="14"/>
    </i>
    <i>
      <x v="15"/>
    </i>
    <i t="grand">
      <x/>
    </i>
  </rowItems>
  <colFields count="1">
    <field x="12"/>
  </colFields>
  <colItems count="3">
    <i>
      <x/>
    </i>
    <i>
      <x v="1"/>
    </i>
    <i t="grand">
      <x/>
    </i>
  </colItems>
  <dataFields count="1">
    <dataField name="Count of EmployeeID" fld="0" subtotal="count" baseField="0" baseItem="0"/>
  </dataField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AE57145-0880-4709-86B2-1A955B93E052}" name="PivotTable4"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4:E17" firstHeaderRow="1" firstDataRow="1" firstDataCol="1"/>
  <pivotFields count="15">
    <pivotField dataField="1" showAll="0"/>
    <pivotField showAll="0"/>
    <pivotField showAll="0"/>
    <pivotField showAll="0"/>
    <pivotField showAll="0"/>
    <pivotField showAll="0"/>
    <pivotField showAll="0">
      <items count="7">
        <item x="0"/>
        <item x="1"/>
        <item x="4"/>
        <item x="3"/>
        <item x="5"/>
        <item x="2"/>
        <item t="default"/>
      </items>
    </pivotField>
    <pivotField showAll="0"/>
    <pivotField numFmtId="14" showAll="0"/>
    <pivotField numFmtId="164" showAll="0"/>
    <pivotField showAll="0"/>
    <pivotField showAll="0"/>
    <pivotField axis="axisRow"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EmployeeID" fld="0" subtotal="count" showDataAs="percentOfTotal" baseField="0" baseItem="0" numFmtId="9"/>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D7E3F4F-6F55-422F-8705-B79831915BB4}" name="PivotTable6" cacheId="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5:E42" firstHeaderRow="1" firstDataRow="1" firstDataCol="1" rowPageCount="1" colPageCount="1"/>
  <pivotFields count="15">
    <pivotField dataField="1" showAll="0"/>
    <pivotField showAll="0"/>
    <pivotField showAll="0"/>
    <pivotField showAll="0"/>
    <pivotField showAll="0"/>
    <pivotField showAll="0"/>
    <pivotField axis="axisRow" showAll="0">
      <items count="7">
        <item x="0"/>
        <item x="1"/>
        <item x="4"/>
        <item x="3"/>
        <item x="5"/>
        <item x="2"/>
        <item t="default"/>
      </items>
    </pivotField>
    <pivotField showAll="0"/>
    <pivotField numFmtId="14" showAll="0"/>
    <pivotField numFmtId="164" showAll="0"/>
    <pivotField showAll="0"/>
    <pivotField showAll="0"/>
    <pivotField axis="axisPage" showAll="0">
      <items count="3">
        <item x="0"/>
        <item x="1"/>
        <item t="default"/>
      </items>
    </pivotField>
    <pivotField showAll="0"/>
    <pivotField showAll="0"/>
  </pivotFields>
  <rowFields count="1">
    <field x="6"/>
  </rowFields>
  <rowItems count="7">
    <i>
      <x/>
    </i>
    <i>
      <x v="1"/>
    </i>
    <i>
      <x v="2"/>
    </i>
    <i>
      <x v="3"/>
    </i>
    <i>
      <x v="4"/>
    </i>
    <i>
      <x v="5"/>
    </i>
    <i t="grand">
      <x/>
    </i>
  </rowItems>
  <colItems count="1">
    <i/>
  </colItems>
  <pageFields count="1">
    <pageField fld="12" item="0" hier="-1"/>
  </pageFields>
  <dataFields count="1">
    <dataField name="Count of EmployeeID" fld="0" subtotal="count" baseField="0" baseItem="0"/>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4"/>
          </reference>
        </references>
      </pivotArea>
    </chartFormat>
    <chartFormat chart="2"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85D9A9F-51FB-48FE-AA70-79632BAFB2B1}" sourceName="Department">
  <pivotTables>
    <pivotTable tabId="2" name="PivotTable11"/>
    <pivotTable tabId="2" name="PivotTable1"/>
    <pivotTable tabId="2" name="PivotTable10"/>
    <pivotTable tabId="2" name="PivotTable12"/>
    <pivotTable tabId="2" name="PivotTable13"/>
    <pivotTable tabId="2" name="PivotTable14"/>
    <pivotTable tabId="2" name="PivotTable17"/>
    <pivotTable tabId="2" name="PivotTable2"/>
    <pivotTable tabId="2" name="PivotTable3"/>
    <pivotTable tabId="2" name="PivotTable4"/>
    <pivotTable tabId="2" name="PivotTable6"/>
    <pivotTable tabId="2" name="PivotTable7"/>
    <pivotTable tabId="2" name="PivotTable8"/>
    <pivotTable tabId="2" name="PivotTable9"/>
    <pivotTable tabId="2" name="PivotTable5"/>
    <pivotTable tabId="2" name="PivotTable20"/>
    <pivotTable tabId="2" name="PivotTable21"/>
    <pivotTable tabId="2" name="PivotTable22"/>
    <pivotTable tabId="2" name="PivotTable23"/>
    <pivotTable tabId="2" name="PivotTable24"/>
    <pivotTable tabId="2" name="PivotTable25"/>
  </pivotTables>
  <data>
    <tabular pivotCacheId="688108390">
      <items count="6">
        <i x="0" s="1"/>
        <i x="1" s="1"/>
        <i x="4" s="1"/>
        <i x="3"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F29026D-280C-43DB-B706-7063F2ED5053}"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348D439-9353-491E-9F20-56FF77385C0E}" cache="Slicer_Department" caption="Department"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DDF8489-96B9-46CE-BC4F-EE146F142B17}" name="Table5" displayName="Table5" ref="G83:H89" totalsRowShown="0">
  <autoFilter ref="G83:H89" xr:uid="{8A2BA085-A433-4CEB-B6F6-2CC1A658AD57}"/>
  <sortState xmlns:xlrd2="http://schemas.microsoft.com/office/spreadsheetml/2017/richdata2" ref="G84:H89">
    <sortCondition descending="1" ref="H83:H89"/>
  </sortState>
  <tableColumns count="2">
    <tableColumn id="1" xr3:uid="{98923B6F-D747-4599-91D9-86B9AEC5A6BE}" name="department">
      <calculatedColumnFormula>D72</calculatedColumnFormula>
    </tableColumn>
    <tableColumn id="2" xr3:uid="{BEB7159F-D9E4-4BC7-A797-BD27F74ED1E8}" name="rate" dataDxfId="7" dataCellStyle="Perc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139AC5-45E8-4FA0-A861-3A2FD705C295}" name="Table2" displayName="Table2" ref="H12:I18" totalsRowShown="0">
  <autoFilter ref="H12:I18" xr:uid="{34333AD8-2C32-4DF7-8734-7D832503B20E}">
    <filterColumn colId="1">
      <top10 val="10" filterVal="0.39655172413793105"/>
    </filterColumn>
  </autoFilter>
  <sortState xmlns:xlrd2="http://schemas.microsoft.com/office/spreadsheetml/2017/richdata2" ref="H13:I18">
    <sortCondition descending="1" ref="I12:I18"/>
  </sortState>
  <tableColumns count="2">
    <tableColumn id="1" xr3:uid="{DA20F511-82B4-427E-99A1-D6C4CDC38FB5}" name="Department" dataDxfId="8"/>
    <tableColumn id="2" xr3:uid="{688E300F-A5FA-4021-AF40-25699CB0F139}" name="Attrition Rate" dataCellStyle="Percent">
      <calculatedColumnFormula>E4/E12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991E97-AC7B-4119-BBF1-5992A7A87F17}" name="Table1" displayName="Table1" ref="A1:O301" totalsRowShown="0">
  <autoFilter ref="A1:O301" xr:uid="{A62EBE24-BAEB-4077-BE42-FDDAF4E64931}"/>
  <tableColumns count="15">
    <tableColumn id="1" xr3:uid="{53699314-AB47-4FBA-960D-BFA240EFFFC2}" name="EmployeeID"/>
    <tableColumn id="2" xr3:uid="{0BCD77B7-0EFC-499A-BD4C-8688DA1D72C1}" name="FirstName"/>
    <tableColumn id="3" xr3:uid="{0CAD7B4F-F4FC-4B9E-AD09-F01BE5BBB25C}" name="LastName"/>
    <tableColumn id="13" xr3:uid="{809D4531-0E9B-4F00-9BA6-B53E99748275}" name="Full Name" dataDxfId="13">
      <calculatedColumnFormula>CONCATENATE(B2," ",C2)</calculatedColumnFormula>
    </tableColumn>
    <tableColumn id="4" xr3:uid="{A21F4D68-5EE5-4829-BE52-374EA8454D70}" name="Gender"/>
    <tableColumn id="5" xr3:uid="{CD1DE64F-756F-403C-B798-AAAE8EDA6B2E}" name="Age"/>
    <tableColumn id="6" xr3:uid="{1620632B-8B09-45D2-90D4-94B59E84A2D0}" name="Department"/>
    <tableColumn id="7" xr3:uid="{3368FCBA-C245-473C-8F98-DAB6E5788195}" name="JobTitle"/>
    <tableColumn id="8" xr3:uid="{89AF37D4-0302-4D07-9B73-1E2C6A703DB7}" name="HireDate" dataDxfId="12"/>
    <tableColumn id="9" xr3:uid="{22A35C96-A966-4528-8C5E-2864DBB8CBF0}" name="Salary" dataDxfId="11"/>
    <tableColumn id="10" xr3:uid="{E493ABC6-E8C0-44F7-A3C8-04CAEBB266D2}" name="PerformanceScore"/>
    <tableColumn id="11" xr3:uid="{0F29D6F1-4389-45BC-A2BF-91F61B79B0B0}" name="YearsAtCompany"/>
    <tableColumn id="12" xr3:uid="{39478751-BBAA-4F32-8896-9927EBF87986}" name="Attrition"/>
    <tableColumn id="14" xr3:uid="{4CBF22D9-037E-4FAC-B5B4-A0A01496B73E}" name="Age Group" dataDxfId="10">
      <calculatedColumnFormula>IF(AND(F2&gt;=20,F2&lt;=30),"20-30",IF(AND(F2&gt;=31,F2&lt;=40),"31-40",IF(AND(F2&gt;=41,F2&lt;=50),"41-50",IF(AND(F2&gt;=51,F2&lt;=60),"51-60"))))</calculatedColumnFormula>
    </tableColumn>
    <tableColumn id="16" xr3:uid="{2B8B9018-E5C3-44AE-AD31-BAF811A9144B}" name="Year" dataDxfId="9">
      <calculatedColumnFormula>YEAR(I2)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993E-F9A0-45FE-9EDC-3CDD1B706AE9}">
  <sheetPr codeName="Sheet1"/>
  <dimension ref="A1:Q183"/>
  <sheetViews>
    <sheetView topLeftCell="A166" zoomScale="115" zoomScaleNormal="115" workbookViewId="0">
      <selection activeCell="I174" sqref="I174:J181"/>
    </sheetView>
  </sheetViews>
  <sheetFormatPr defaultRowHeight="15" x14ac:dyDescent="0.25"/>
  <cols>
    <col min="1" max="1" width="20" bestFit="1" customWidth="1"/>
    <col min="2" max="2" width="16.28515625" bestFit="1" customWidth="1"/>
    <col min="3" max="3" width="5.5703125" bestFit="1" customWidth="1"/>
    <col min="4" max="4" width="13.140625" bestFit="1" customWidth="1"/>
    <col min="5" max="5" width="20" bestFit="1" customWidth="1"/>
    <col min="6" max="6" width="4.42578125" bestFit="1" customWidth="1"/>
    <col min="7" max="7" width="11.28515625" bestFit="1" customWidth="1"/>
    <col min="8" max="8" width="16.28515625" bestFit="1" customWidth="1"/>
    <col min="9" max="9" width="5.5703125" bestFit="1" customWidth="1"/>
    <col min="10" max="10" width="13.140625" bestFit="1" customWidth="1"/>
    <col min="11" max="11" width="27.85546875" bestFit="1" customWidth="1"/>
    <col min="12" max="16" width="5.5703125" bestFit="1" customWidth="1"/>
    <col min="17" max="18" width="11.28515625" bestFit="1" customWidth="1"/>
  </cols>
  <sheetData>
    <row r="1" spans="1:9" x14ac:dyDescent="0.25">
      <c r="G1" s="3" t="s">
        <v>11</v>
      </c>
      <c r="H1" t="s">
        <v>26</v>
      </c>
    </row>
    <row r="2" spans="1:9" x14ac:dyDescent="0.25">
      <c r="D2" s="3" t="s">
        <v>11</v>
      </c>
      <c r="E2" t="s">
        <v>17</v>
      </c>
    </row>
    <row r="3" spans="1:9" x14ac:dyDescent="0.25">
      <c r="A3" t="s">
        <v>77</v>
      </c>
      <c r="G3" s="3" t="s">
        <v>77</v>
      </c>
      <c r="H3" s="3" t="s">
        <v>92</v>
      </c>
    </row>
    <row r="4" spans="1:9" x14ac:dyDescent="0.25">
      <c r="A4" s="8">
        <v>300</v>
      </c>
      <c r="D4" t="s">
        <v>77</v>
      </c>
      <c r="G4" s="3" t="s">
        <v>78</v>
      </c>
      <c r="H4" t="s">
        <v>14</v>
      </c>
      <c r="I4" t="s">
        <v>28</v>
      </c>
    </row>
    <row r="5" spans="1:9" x14ac:dyDescent="0.25">
      <c r="D5" s="8">
        <v>161</v>
      </c>
      <c r="G5" s="4" t="s">
        <v>15</v>
      </c>
      <c r="H5" s="8">
        <v>12</v>
      </c>
      <c r="I5" s="8">
        <v>12</v>
      </c>
    </row>
    <row r="6" spans="1:9" x14ac:dyDescent="0.25">
      <c r="G6" s="4" t="s">
        <v>20</v>
      </c>
      <c r="H6" s="8">
        <v>13</v>
      </c>
      <c r="I6" s="8">
        <v>10</v>
      </c>
    </row>
    <row r="7" spans="1:9" x14ac:dyDescent="0.25">
      <c r="G7" s="4" t="s">
        <v>41</v>
      </c>
      <c r="H7" s="8">
        <v>12</v>
      </c>
      <c r="I7" s="8">
        <v>11</v>
      </c>
    </row>
    <row r="8" spans="1:9" x14ac:dyDescent="0.25">
      <c r="G8" s="4" t="s">
        <v>39</v>
      </c>
      <c r="H8" s="8">
        <v>12</v>
      </c>
      <c r="I8" s="8">
        <v>12</v>
      </c>
    </row>
    <row r="9" spans="1:9" x14ac:dyDescent="0.25">
      <c r="D9" s="3" t="s">
        <v>11</v>
      </c>
      <c r="E9" t="s">
        <v>26</v>
      </c>
      <c r="G9" s="4" t="s">
        <v>55</v>
      </c>
      <c r="H9" s="8">
        <v>11</v>
      </c>
      <c r="I9" s="8">
        <v>7</v>
      </c>
    </row>
    <row r="10" spans="1:9" x14ac:dyDescent="0.25">
      <c r="G10" s="4" t="s">
        <v>24</v>
      </c>
      <c r="H10" s="8">
        <v>14</v>
      </c>
      <c r="I10" s="8">
        <v>13</v>
      </c>
    </row>
    <row r="11" spans="1:9" x14ac:dyDescent="0.25">
      <c r="D11" t="s">
        <v>77</v>
      </c>
      <c r="G11" s="4" t="s">
        <v>79</v>
      </c>
      <c r="H11" s="8">
        <v>74</v>
      </c>
      <c r="I11" s="8">
        <v>65</v>
      </c>
    </row>
    <row r="12" spans="1:9" x14ac:dyDescent="0.25">
      <c r="D12" s="8">
        <v>139</v>
      </c>
      <c r="G12" s="3" t="s">
        <v>11</v>
      </c>
      <c r="H12" t="s">
        <v>26</v>
      </c>
    </row>
    <row r="14" spans="1:9" x14ac:dyDescent="0.25">
      <c r="D14" s="3" t="s">
        <v>78</v>
      </c>
      <c r="E14" t="s">
        <v>77</v>
      </c>
      <c r="G14" s="3" t="s">
        <v>77</v>
      </c>
      <c r="H14" s="3" t="s">
        <v>92</v>
      </c>
    </row>
    <row r="15" spans="1:9" x14ac:dyDescent="0.25">
      <c r="D15" s="4" t="s">
        <v>17</v>
      </c>
      <c r="E15" s="5">
        <v>0.53666666666666663</v>
      </c>
      <c r="G15" s="3" t="s">
        <v>78</v>
      </c>
      <c r="H15" t="s">
        <v>14</v>
      </c>
      <c r="I15" t="s">
        <v>28</v>
      </c>
    </row>
    <row r="16" spans="1:9" x14ac:dyDescent="0.25">
      <c r="D16" s="4" t="s">
        <v>26</v>
      </c>
      <c r="E16" s="5">
        <v>0.46333333333333332</v>
      </c>
      <c r="G16" s="4" t="s">
        <v>94</v>
      </c>
      <c r="H16" s="8">
        <v>18</v>
      </c>
      <c r="I16" s="8">
        <v>16</v>
      </c>
    </row>
    <row r="17" spans="4:9" x14ac:dyDescent="0.25">
      <c r="D17" s="4" t="s">
        <v>79</v>
      </c>
      <c r="E17" s="5">
        <v>1</v>
      </c>
      <c r="G17" s="4" t="s">
        <v>95</v>
      </c>
      <c r="H17" s="8">
        <v>19</v>
      </c>
      <c r="I17" s="8">
        <v>19</v>
      </c>
    </row>
    <row r="18" spans="4:9" x14ac:dyDescent="0.25">
      <c r="G18" s="4" t="s">
        <v>96</v>
      </c>
      <c r="H18" s="8">
        <v>26</v>
      </c>
      <c r="I18" s="8">
        <v>16</v>
      </c>
    </row>
    <row r="19" spans="4:9" x14ac:dyDescent="0.25">
      <c r="D19" s="3" t="s">
        <v>11</v>
      </c>
      <c r="E19" t="s">
        <v>17</v>
      </c>
      <c r="G19" s="4" t="s">
        <v>97</v>
      </c>
      <c r="H19" s="8">
        <v>11</v>
      </c>
      <c r="I19" s="8">
        <v>14</v>
      </c>
    </row>
    <row r="20" spans="4:9" x14ac:dyDescent="0.25">
      <c r="G20" s="4" t="s">
        <v>79</v>
      </c>
      <c r="H20" s="8">
        <v>74</v>
      </c>
      <c r="I20" s="8">
        <v>65</v>
      </c>
    </row>
    <row r="21" spans="4:9" x14ac:dyDescent="0.25">
      <c r="D21" s="3" t="s">
        <v>78</v>
      </c>
      <c r="E21" t="s">
        <v>81</v>
      </c>
    </row>
    <row r="22" spans="4:9" x14ac:dyDescent="0.25">
      <c r="D22" s="4" t="s">
        <v>87</v>
      </c>
      <c r="E22" s="2">
        <v>94712</v>
      </c>
      <c r="G22" s="3" t="s">
        <v>11</v>
      </c>
      <c r="H22" t="s">
        <v>17</v>
      </c>
    </row>
    <row r="23" spans="4:9" x14ac:dyDescent="0.25">
      <c r="D23" s="4" t="s">
        <v>90</v>
      </c>
      <c r="E23" s="2">
        <v>94451</v>
      </c>
    </row>
    <row r="24" spans="4:9" x14ac:dyDescent="0.25">
      <c r="D24" s="4" t="s">
        <v>82</v>
      </c>
      <c r="E24" s="2">
        <v>94245</v>
      </c>
      <c r="G24" s="3" t="s">
        <v>78</v>
      </c>
      <c r="H24" t="s">
        <v>77</v>
      </c>
    </row>
    <row r="25" spans="4:9" x14ac:dyDescent="0.25">
      <c r="D25" s="4" t="s">
        <v>91</v>
      </c>
      <c r="E25" s="2">
        <v>93736</v>
      </c>
      <c r="G25" s="4" t="s">
        <v>21</v>
      </c>
      <c r="H25" s="8">
        <v>37</v>
      </c>
    </row>
    <row r="26" spans="4:9" x14ac:dyDescent="0.25">
      <c r="D26" s="4" t="s">
        <v>83</v>
      </c>
      <c r="E26" s="2">
        <v>93619</v>
      </c>
      <c r="G26" s="4" t="s">
        <v>34</v>
      </c>
      <c r="H26" s="8">
        <v>25</v>
      </c>
      <c r="I26" t="s">
        <v>98</v>
      </c>
    </row>
    <row r="27" spans="4:9" x14ac:dyDescent="0.25">
      <c r="D27" s="4" t="s">
        <v>84</v>
      </c>
      <c r="E27" s="2">
        <v>92892</v>
      </c>
      <c r="G27" s="4" t="s">
        <v>25</v>
      </c>
      <c r="H27" s="8">
        <v>31</v>
      </c>
    </row>
    <row r="28" spans="4:9" x14ac:dyDescent="0.25">
      <c r="D28" s="4" t="s">
        <v>89</v>
      </c>
      <c r="E28" s="2">
        <v>92437</v>
      </c>
      <c r="G28" s="4" t="s">
        <v>31</v>
      </c>
      <c r="H28" s="8">
        <v>39</v>
      </c>
    </row>
    <row r="29" spans="4:9" x14ac:dyDescent="0.25">
      <c r="D29" s="4" t="s">
        <v>88</v>
      </c>
      <c r="E29" s="2">
        <v>92190</v>
      </c>
      <c r="G29" s="4" t="s">
        <v>16</v>
      </c>
      <c r="H29" s="8">
        <v>29</v>
      </c>
    </row>
    <row r="30" spans="4:9" x14ac:dyDescent="0.25">
      <c r="D30" s="4" t="s">
        <v>85</v>
      </c>
      <c r="E30" s="2">
        <v>92155</v>
      </c>
      <c r="G30" s="4" t="s">
        <v>79</v>
      </c>
      <c r="H30" s="8">
        <v>161</v>
      </c>
    </row>
    <row r="31" spans="4:9" x14ac:dyDescent="0.25">
      <c r="D31" s="4" t="s">
        <v>86</v>
      </c>
      <c r="E31" s="2">
        <v>91688</v>
      </c>
    </row>
    <row r="33" spans="4:8" x14ac:dyDescent="0.25">
      <c r="D33" s="3" t="s">
        <v>11</v>
      </c>
      <c r="E33" t="s">
        <v>17</v>
      </c>
    </row>
    <row r="35" spans="4:8" x14ac:dyDescent="0.25">
      <c r="D35" s="3" t="s">
        <v>78</v>
      </c>
      <c r="E35" t="s">
        <v>77</v>
      </c>
    </row>
    <row r="36" spans="4:8" x14ac:dyDescent="0.25">
      <c r="D36" s="4" t="s">
        <v>15</v>
      </c>
      <c r="E36" s="8">
        <v>36</v>
      </c>
      <c r="G36" s="3" t="s">
        <v>78</v>
      </c>
      <c r="H36" t="s">
        <v>77</v>
      </c>
    </row>
    <row r="37" spans="4:8" x14ac:dyDescent="0.25">
      <c r="D37" s="4" t="s">
        <v>20</v>
      </c>
      <c r="E37" s="8">
        <v>35</v>
      </c>
      <c r="G37" s="4" t="s">
        <v>17</v>
      </c>
      <c r="H37" s="5">
        <v>0.53666666666666663</v>
      </c>
    </row>
    <row r="38" spans="4:8" x14ac:dyDescent="0.25">
      <c r="D38" s="4" t="s">
        <v>41</v>
      </c>
      <c r="E38" s="8">
        <v>25</v>
      </c>
      <c r="G38" s="4" t="s">
        <v>26</v>
      </c>
      <c r="H38" s="5">
        <v>0.46333333333333332</v>
      </c>
    </row>
    <row r="39" spans="4:8" x14ac:dyDescent="0.25">
      <c r="D39" s="4" t="s">
        <v>39</v>
      </c>
      <c r="E39" s="8">
        <v>23</v>
      </c>
      <c r="G39" s="4" t="s">
        <v>79</v>
      </c>
      <c r="H39" s="5">
        <v>1</v>
      </c>
    </row>
    <row r="40" spans="4:8" x14ac:dyDescent="0.25">
      <c r="D40" s="4" t="s">
        <v>55</v>
      </c>
      <c r="E40" s="8">
        <v>19</v>
      </c>
    </row>
    <row r="41" spans="4:8" x14ac:dyDescent="0.25">
      <c r="D41" s="4" t="s">
        <v>24</v>
      </c>
      <c r="E41" s="8">
        <v>23</v>
      </c>
    </row>
    <row r="42" spans="4:8" x14ac:dyDescent="0.25">
      <c r="D42" s="4" t="s">
        <v>79</v>
      </c>
      <c r="E42" s="8">
        <v>161</v>
      </c>
    </row>
    <row r="47" spans="4:8" x14ac:dyDescent="0.25">
      <c r="D47" s="3" t="s">
        <v>77</v>
      </c>
      <c r="E47" s="3" t="s">
        <v>92</v>
      </c>
    </row>
    <row r="48" spans="4:8" x14ac:dyDescent="0.25">
      <c r="D48" s="3" t="s">
        <v>78</v>
      </c>
      <c r="E48" t="s">
        <v>17</v>
      </c>
      <c r="F48" t="s">
        <v>26</v>
      </c>
      <c r="G48" t="s">
        <v>79</v>
      </c>
    </row>
    <row r="49" spans="4:7" x14ac:dyDescent="0.25">
      <c r="D49" s="4">
        <v>2010</v>
      </c>
      <c r="E49" s="8">
        <v>12</v>
      </c>
      <c r="F49" s="8">
        <v>11</v>
      </c>
      <c r="G49" s="8">
        <v>23</v>
      </c>
    </row>
    <row r="50" spans="4:7" x14ac:dyDescent="0.25">
      <c r="D50" s="4">
        <v>2011</v>
      </c>
      <c r="E50" s="8">
        <v>11</v>
      </c>
      <c r="F50" s="8">
        <v>4</v>
      </c>
      <c r="G50" s="8">
        <v>15</v>
      </c>
    </row>
    <row r="51" spans="4:7" x14ac:dyDescent="0.25">
      <c r="D51" s="4">
        <v>2012</v>
      </c>
      <c r="E51" s="8">
        <v>8</v>
      </c>
      <c r="F51" s="8">
        <v>12</v>
      </c>
      <c r="G51" s="8">
        <v>20</v>
      </c>
    </row>
    <row r="52" spans="4:7" x14ac:dyDescent="0.25">
      <c r="D52" s="4">
        <v>2013</v>
      </c>
      <c r="E52" s="8">
        <v>7</v>
      </c>
      <c r="F52" s="8">
        <v>13</v>
      </c>
      <c r="G52" s="8">
        <v>20</v>
      </c>
    </row>
    <row r="53" spans="4:7" x14ac:dyDescent="0.25">
      <c r="D53" s="4">
        <v>2014</v>
      </c>
      <c r="E53" s="8">
        <v>10</v>
      </c>
      <c r="F53" s="8">
        <v>11</v>
      </c>
      <c r="G53" s="8">
        <v>21</v>
      </c>
    </row>
    <row r="54" spans="4:7" x14ac:dyDescent="0.25">
      <c r="D54" s="4">
        <v>2015</v>
      </c>
      <c r="E54" s="8">
        <v>11</v>
      </c>
      <c r="F54" s="8">
        <v>7</v>
      </c>
      <c r="G54" s="8">
        <v>18</v>
      </c>
    </row>
    <row r="55" spans="4:7" x14ac:dyDescent="0.25">
      <c r="D55" s="4">
        <v>2016</v>
      </c>
      <c r="E55" s="8">
        <v>13</v>
      </c>
      <c r="F55" s="8">
        <v>10</v>
      </c>
      <c r="G55" s="8">
        <v>23</v>
      </c>
    </row>
    <row r="56" spans="4:7" x14ac:dyDescent="0.25">
      <c r="D56" s="4">
        <v>2017</v>
      </c>
      <c r="E56" s="8">
        <v>11</v>
      </c>
      <c r="F56" s="8">
        <v>8</v>
      </c>
      <c r="G56" s="8">
        <v>19</v>
      </c>
    </row>
    <row r="57" spans="4:7" x14ac:dyDescent="0.25">
      <c r="D57" s="4">
        <v>2018</v>
      </c>
      <c r="E57" s="8">
        <v>10</v>
      </c>
      <c r="F57" s="8">
        <v>6</v>
      </c>
      <c r="G57" s="8">
        <v>16</v>
      </c>
    </row>
    <row r="58" spans="4:7" x14ac:dyDescent="0.25">
      <c r="D58" s="4">
        <v>2019</v>
      </c>
      <c r="E58" s="8">
        <v>12</v>
      </c>
      <c r="F58" s="8">
        <v>9</v>
      </c>
      <c r="G58" s="8">
        <v>21</v>
      </c>
    </row>
    <row r="59" spans="4:7" x14ac:dyDescent="0.25">
      <c r="D59" s="4">
        <v>2020</v>
      </c>
      <c r="E59" s="8">
        <v>8</v>
      </c>
      <c r="F59" s="8">
        <v>6</v>
      </c>
      <c r="G59" s="8">
        <v>14</v>
      </c>
    </row>
    <row r="60" spans="4:7" x14ac:dyDescent="0.25">
      <c r="D60" s="4">
        <v>2021</v>
      </c>
      <c r="E60" s="8">
        <v>11</v>
      </c>
      <c r="F60" s="8">
        <v>11</v>
      </c>
      <c r="G60" s="8">
        <v>22</v>
      </c>
    </row>
    <row r="61" spans="4:7" x14ac:dyDescent="0.25">
      <c r="D61" s="4">
        <v>2022</v>
      </c>
      <c r="E61" s="8">
        <v>11</v>
      </c>
      <c r="F61" s="8">
        <v>13</v>
      </c>
      <c r="G61" s="8">
        <v>24</v>
      </c>
    </row>
    <row r="62" spans="4:7" x14ac:dyDescent="0.25">
      <c r="D62" s="4">
        <v>2023</v>
      </c>
      <c r="E62" s="8">
        <v>15</v>
      </c>
      <c r="F62" s="8">
        <v>9</v>
      </c>
      <c r="G62" s="8">
        <v>24</v>
      </c>
    </row>
    <row r="63" spans="4:7" x14ac:dyDescent="0.25">
      <c r="D63" s="4">
        <v>2024</v>
      </c>
      <c r="E63" s="8">
        <v>11</v>
      </c>
      <c r="F63" s="8">
        <v>8</v>
      </c>
      <c r="G63" s="8">
        <v>19</v>
      </c>
    </row>
    <row r="64" spans="4:7" x14ac:dyDescent="0.25">
      <c r="D64" s="4">
        <v>2025</v>
      </c>
      <c r="E64" s="8"/>
      <c r="F64" s="8">
        <v>1</v>
      </c>
      <c r="G64" s="8">
        <v>1</v>
      </c>
    </row>
    <row r="65" spans="4:7" x14ac:dyDescent="0.25">
      <c r="D65" s="4" t="s">
        <v>79</v>
      </c>
      <c r="E65" s="8">
        <v>161</v>
      </c>
      <c r="F65" s="8">
        <v>139</v>
      </c>
      <c r="G65" s="8">
        <v>300</v>
      </c>
    </row>
    <row r="69" spans="4:7" x14ac:dyDescent="0.25">
      <c r="D69" s="3" t="s">
        <v>11</v>
      </c>
      <c r="E69" t="s">
        <v>26</v>
      </c>
    </row>
    <row r="71" spans="4:7" x14ac:dyDescent="0.25">
      <c r="D71" s="3" t="s">
        <v>78</v>
      </c>
      <c r="E71" t="s">
        <v>77</v>
      </c>
    </row>
    <row r="72" spans="4:7" x14ac:dyDescent="0.25">
      <c r="D72" s="4" t="s">
        <v>15</v>
      </c>
      <c r="E72" s="8">
        <v>24</v>
      </c>
      <c r="G72" s="6">
        <f>E72/E85</f>
        <v>0.4</v>
      </c>
    </row>
    <row r="73" spans="4:7" x14ac:dyDescent="0.25">
      <c r="D73" s="4" t="s">
        <v>20</v>
      </c>
      <c r="E73" s="8">
        <v>23</v>
      </c>
    </row>
    <row r="74" spans="4:7" x14ac:dyDescent="0.25">
      <c r="D74" s="4" t="s">
        <v>41</v>
      </c>
      <c r="E74" s="8">
        <v>23</v>
      </c>
    </row>
    <row r="75" spans="4:7" x14ac:dyDescent="0.25">
      <c r="D75" s="4" t="s">
        <v>39</v>
      </c>
      <c r="E75" s="8">
        <v>24</v>
      </c>
    </row>
    <row r="76" spans="4:7" x14ac:dyDescent="0.25">
      <c r="D76" s="4" t="s">
        <v>55</v>
      </c>
      <c r="E76" s="8">
        <v>18</v>
      </c>
    </row>
    <row r="77" spans="4:7" x14ac:dyDescent="0.25">
      <c r="D77" s="4" t="s">
        <v>24</v>
      </c>
      <c r="E77" s="8">
        <v>27</v>
      </c>
    </row>
    <row r="78" spans="4:7" x14ac:dyDescent="0.25">
      <c r="D78" s="4" t="s">
        <v>79</v>
      </c>
      <c r="E78" s="8">
        <v>139</v>
      </c>
    </row>
    <row r="82" spans="4:9" x14ac:dyDescent="0.25">
      <c r="D82" s="3" t="s">
        <v>11</v>
      </c>
      <c r="E82" t="s">
        <v>80</v>
      </c>
    </row>
    <row r="83" spans="4:9" x14ac:dyDescent="0.25">
      <c r="G83" t="s">
        <v>101</v>
      </c>
      <c r="H83" t="s">
        <v>102</v>
      </c>
    </row>
    <row r="84" spans="4:9" x14ac:dyDescent="0.25">
      <c r="D84" s="3" t="s">
        <v>78</v>
      </c>
      <c r="E84" t="s">
        <v>77</v>
      </c>
      <c r="G84" t="str">
        <f>D72</f>
        <v>Finance</v>
      </c>
      <c r="H84" s="9">
        <f>GETPIVOTDATA("EmployeeID",$D$71,"Department","Sales")/GETPIVOTDATA("EmployeeID",$D$84,"Department","Sales")</f>
        <v>0.54</v>
      </c>
      <c r="I84" s="7"/>
    </row>
    <row r="85" spans="4:9" x14ac:dyDescent="0.25">
      <c r="D85" s="4" t="s">
        <v>15</v>
      </c>
      <c r="E85" s="8">
        <v>60</v>
      </c>
      <c r="G85" t="str">
        <f>D73</f>
        <v>HR</v>
      </c>
      <c r="H85" s="9">
        <f>GETPIVOTDATA("EmployeeID",$D$71,"Department","Marketing")/GETPIVOTDATA("EmployeeID",$D$84,"Department","Marketing")</f>
        <v>0.51063829787234039</v>
      </c>
      <c r="I85" s="7"/>
    </row>
    <row r="86" spans="4:9" x14ac:dyDescent="0.25">
      <c r="D86" s="4" t="s">
        <v>20</v>
      </c>
      <c r="E86" s="8">
        <v>58</v>
      </c>
      <c r="G86" t="str">
        <f>D74</f>
        <v>IT</v>
      </c>
      <c r="H86" s="9">
        <f>GETPIVOTDATA("EmployeeID",$D$71,"Department","Operations")/GETPIVOTDATA("EmployeeID",$D$84,"Department","Operations")</f>
        <v>0.48648648648648651</v>
      </c>
      <c r="I86" s="7"/>
    </row>
    <row r="87" spans="4:9" x14ac:dyDescent="0.25">
      <c r="D87" s="4" t="s">
        <v>41</v>
      </c>
      <c r="E87" s="8">
        <v>48</v>
      </c>
      <c r="G87" t="str">
        <f>D75</f>
        <v>Marketing</v>
      </c>
      <c r="H87" s="9">
        <f>GETPIVOTDATA("EmployeeID",$D$71,"Department","IT")/GETPIVOTDATA("EmployeeID",$D$84,"Department","IT")</f>
        <v>0.47916666666666669</v>
      </c>
      <c r="I87" s="7"/>
    </row>
    <row r="88" spans="4:9" x14ac:dyDescent="0.25">
      <c r="D88" s="4" t="s">
        <v>39</v>
      </c>
      <c r="E88" s="8">
        <v>47</v>
      </c>
      <c r="G88" t="str">
        <f>D76</f>
        <v>Operations</v>
      </c>
      <c r="H88" s="9">
        <f>GETPIVOTDATA("EmployeeID",$D$71,"Department","Finance")/GETPIVOTDATA("EmployeeID",$D$84,"Department","Finance")</f>
        <v>0.4</v>
      </c>
      <c r="I88" s="7"/>
    </row>
    <row r="89" spans="4:9" x14ac:dyDescent="0.25">
      <c r="D89" s="4" t="s">
        <v>55</v>
      </c>
      <c r="E89" s="8">
        <v>37</v>
      </c>
      <c r="G89" t="str">
        <f>D77</f>
        <v>Sales</v>
      </c>
      <c r="H89" s="9">
        <f>GETPIVOTDATA("EmployeeID",$D$71,"Department","HR")/GETPIVOTDATA("EmployeeID",$D$84,"Department","HR")</f>
        <v>0.39655172413793105</v>
      </c>
      <c r="I89" s="7"/>
    </row>
    <row r="90" spans="4:9" x14ac:dyDescent="0.25">
      <c r="D90" s="4" t="s">
        <v>24</v>
      </c>
      <c r="E90" s="8">
        <v>50</v>
      </c>
    </row>
    <row r="91" spans="4:9" x14ac:dyDescent="0.25">
      <c r="D91" s="4" t="s">
        <v>79</v>
      </c>
      <c r="E91" s="8">
        <v>300</v>
      </c>
    </row>
    <row r="99" spans="4:6" x14ac:dyDescent="0.25">
      <c r="D99" s="3" t="s">
        <v>11</v>
      </c>
      <c r="E99" t="s">
        <v>17</v>
      </c>
    </row>
    <row r="101" spans="4:6" x14ac:dyDescent="0.25">
      <c r="D101" s="3" t="s">
        <v>77</v>
      </c>
      <c r="E101" s="3" t="s">
        <v>92</v>
      </c>
    </row>
    <row r="102" spans="4:6" x14ac:dyDescent="0.25">
      <c r="D102" s="3" t="s">
        <v>78</v>
      </c>
      <c r="E102" t="s">
        <v>14</v>
      </c>
      <c r="F102" t="s">
        <v>28</v>
      </c>
    </row>
    <row r="103" spans="4:6" x14ac:dyDescent="0.25">
      <c r="D103" s="4" t="s">
        <v>94</v>
      </c>
      <c r="E103" s="8">
        <v>20</v>
      </c>
      <c r="F103" s="8">
        <v>21</v>
      </c>
    </row>
    <row r="104" spans="4:6" x14ac:dyDescent="0.25">
      <c r="D104" s="4" t="s">
        <v>95</v>
      </c>
      <c r="E104" s="8">
        <v>22</v>
      </c>
      <c r="F104" s="8">
        <v>18</v>
      </c>
    </row>
    <row r="105" spans="4:6" x14ac:dyDescent="0.25">
      <c r="D105" s="4" t="s">
        <v>96</v>
      </c>
      <c r="E105" s="8">
        <v>20</v>
      </c>
      <c r="F105" s="8">
        <v>25</v>
      </c>
    </row>
    <row r="106" spans="4:6" x14ac:dyDescent="0.25">
      <c r="D106" s="4" t="s">
        <v>97</v>
      </c>
      <c r="E106" s="8">
        <v>10</v>
      </c>
      <c r="F106" s="8">
        <v>25</v>
      </c>
    </row>
    <row r="107" spans="4:6" x14ac:dyDescent="0.25">
      <c r="D107" s="4" t="s">
        <v>79</v>
      </c>
      <c r="E107" s="8">
        <v>72</v>
      </c>
      <c r="F107" s="8">
        <v>89</v>
      </c>
    </row>
    <row r="109" spans="4:6" x14ac:dyDescent="0.25">
      <c r="D109" s="4" t="s">
        <v>93</v>
      </c>
      <c r="E109" t="s">
        <v>28</v>
      </c>
      <c r="F109" t="s">
        <v>14</v>
      </c>
    </row>
    <row r="110" spans="4:6" x14ac:dyDescent="0.25">
      <c r="D110" s="4" t="s">
        <v>94</v>
      </c>
      <c r="E110">
        <f>-GETPIVOTDATA("EmployeeID",$D$101,"Gender","Male","Age Group","20-30")</f>
        <v>-21</v>
      </c>
      <c r="F110" s="8">
        <v>20</v>
      </c>
    </row>
    <row r="111" spans="4:6" x14ac:dyDescent="0.25">
      <c r="D111" s="4" t="s">
        <v>95</v>
      </c>
      <c r="E111">
        <f>- GETPIVOTDATA("EmployeeID",$D$101,"Gender","Male","Age Group","31-40")</f>
        <v>-18</v>
      </c>
      <c r="F111" s="8">
        <v>22</v>
      </c>
    </row>
    <row r="112" spans="4:6" x14ac:dyDescent="0.25">
      <c r="D112" s="4" t="s">
        <v>96</v>
      </c>
      <c r="E112">
        <f>- GETPIVOTDATA("EmployeeID",$D$101,"Gender","Male","Age Group","41-50")</f>
        <v>-25</v>
      </c>
      <c r="F112" s="8">
        <v>20</v>
      </c>
    </row>
    <row r="113" spans="4:15" x14ac:dyDescent="0.25">
      <c r="D113" s="4" t="s">
        <v>97</v>
      </c>
      <c r="E113">
        <f>-GETPIVOTDATA("EmployeeID",$D$101,"Gender","Male","Age Group","51-60")</f>
        <v>-25</v>
      </c>
      <c r="F113" s="8">
        <v>10</v>
      </c>
    </row>
    <row r="115" spans="4:15" x14ac:dyDescent="0.25">
      <c r="J115" s="3" t="s">
        <v>11</v>
      </c>
      <c r="K115" t="s">
        <v>17</v>
      </c>
    </row>
    <row r="117" spans="4:15" x14ac:dyDescent="0.25">
      <c r="J117" s="3" t="s">
        <v>78</v>
      </c>
      <c r="K117" t="s">
        <v>104</v>
      </c>
      <c r="M117" t="s">
        <v>101</v>
      </c>
      <c r="N117" t="s">
        <v>9</v>
      </c>
      <c r="O117" t="s">
        <v>105</v>
      </c>
    </row>
    <row r="118" spans="4:15" x14ac:dyDescent="0.25">
      <c r="J118" s="4" t="s">
        <v>24</v>
      </c>
      <c r="K118" s="10">
        <v>3.4347826086956523</v>
      </c>
      <c r="M118" s="4" t="s">
        <v>24</v>
      </c>
      <c r="N118" s="10">
        <v>3.4347826086956523</v>
      </c>
      <c r="O118" s="11">
        <v>3.0062111801242235</v>
      </c>
    </row>
    <row r="119" spans="4:15" x14ac:dyDescent="0.25">
      <c r="J119" s="4" t="s">
        <v>55</v>
      </c>
      <c r="K119" s="10">
        <v>3.4210526315789473</v>
      </c>
      <c r="M119" s="4" t="s">
        <v>55</v>
      </c>
      <c r="N119" s="10">
        <v>3.4210526315789473</v>
      </c>
      <c r="O119" s="11">
        <v>3.0062111801242235</v>
      </c>
    </row>
    <row r="120" spans="4:15" x14ac:dyDescent="0.25">
      <c r="J120" s="4" t="s">
        <v>39</v>
      </c>
      <c r="K120" s="10">
        <v>3.0434782608695654</v>
      </c>
      <c r="M120" s="4" t="s">
        <v>39</v>
      </c>
      <c r="N120" s="10">
        <v>3.0434782608695654</v>
      </c>
      <c r="O120" s="11">
        <v>3.0062111801242235</v>
      </c>
    </row>
    <row r="121" spans="4:15" x14ac:dyDescent="0.25">
      <c r="J121" s="4" t="s">
        <v>41</v>
      </c>
      <c r="K121" s="10">
        <v>2.92</v>
      </c>
      <c r="M121" s="4" t="s">
        <v>41</v>
      </c>
      <c r="N121" s="10">
        <v>2.92</v>
      </c>
      <c r="O121" s="11">
        <v>3.0062111801242235</v>
      </c>
    </row>
    <row r="122" spans="4:15" x14ac:dyDescent="0.25">
      <c r="J122" s="4" t="s">
        <v>15</v>
      </c>
      <c r="K122" s="10">
        <v>2.8611111111111112</v>
      </c>
      <c r="M122" s="4" t="s">
        <v>15</v>
      </c>
      <c r="N122" s="10">
        <v>2.8611111111111112</v>
      </c>
      <c r="O122" s="11">
        <v>3.0062111801242235</v>
      </c>
    </row>
    <row r="123" spans="4:15" x14ac:dyDescent="0.25">
      <c r="J123" s="4" t="s">
        <v>20</v>
      </c>
      <c r="K123" s="10">
        <v>2.6857142857142855</v>
      </c>
      <c r="M123" s="4" t="s">
        <v>20</v>
      </c>
      <c r="N123" s="10">
        <v>2.6857142857142855</v>
      </c>
      <c r="O123" s="11">
        <v>3.0062111801242235</v>
      </c>
    </row>
    <row r="124" spans="4:15" x14ac:dyDescent="0.25">
      <c r="J124" s="4" t="s">
        <v>79</v>
      </c>
      <c r="K124" s="10">
        <v>3.0062111801242235</v>
      </c>
    </row>
    <row r="129" spans="1:17" x14ac:dyDescent="0.25">
      <c r="A129" s="3" t="s">
        <v>11</v>
      </c>
      <c r="B129" t="s">
        <v>17</v>
      </c>
    </row>
    <row r="131" spans="1:17" x14ac:dyDescent="0.25">
      <c r="A131" s="3" t="s">
        <v>103</v>
      </c>
      <c r="B131" s="3" t="s">
        <v>92</v>
      </c>
    </row>
    <row r="132" spans="1:17" x14ac:dyDescent="0.25">
      <c r="A132" s="3" t="s">
        <v>78</v>
      </c>
      <c r="B132">
        <v>2010</v>
      </c>
      <c r="C132">
        <v>2011</v>
      </c>
      <c r="D132">
        <v>2012</v>
      </c>
      <c r="E132">
        <v>2013</v>
      </c>
      <c r="F132">
        <v>2014</v>
      </c>
      <c r="G132">
        <v>2015</v>
      </c>
      <c r="H132">
        <v>2016</v>
      </c>
      <c r="I132">
        <v>2017</v>
      </c>
      <c r="J132">
        <v>2018</v>
      </c>
      <c r="K132">
        <v>2019</v>
      </c>
      <c r="L132">
        <v>2020</v>
      </c>
      <c r="M132">
        <v>2021</v>
      </c>
      <c r="N132">
        <v>2022</v>
      </c>
      <c r="O132">
        <v>2023</v>
      </c>
      <c r="P132">
        <v>2024</v>
      </c>
      <c r="Q132" t="s">
        <v>79</v>
      </c>
    </row>
    <row r="133" spans="1:17" x14ac:dyDescent="0.25">
      <c r="A133" s="4" t="s">
        <v>15</v>
      </c>
      <c r="B133" s="8">
        <v>6</v>
      </c>
      <c r="C133" s="8">
        <v>13</v>
      </c>
      <c r="D133" s="8">
        <v>5</v>
      </c>
      <c r="E133" s="8">
        <v>2</v>
      </c>
      <c r="F133" s="8">
        <v>8</v>
      </c>
      <c r="G133" s="8">
        <v>2</v>
      </c>
      <c r="H133" s="8">
        <v>6</v>
      </c>
      <c r="I133" s="8">
        <v>1</v>
      </c>
      <c r="J133" s="8">
        <v>8</v>
      </c>
      <c r="K133" s="8">
        <v>10</v>
      </c>
      <c r="L133" s="8">
        <v>9</v>
      </c>
      <c r="M133" s="8">
        <v>10</v>
      </c>
      <c r="N133" s="8">
        <v>10</v>
      </c>
      <c r="O133" s="8">
        <v>5</v>
      </c>
      <c r="P133" s="8">
        <v>8</v>
      </c>
      <c r="Q133" s="8">
        <v>103</v>
      </c>
    </row>
    <row r="134" spans="1:17" x14ac:dyDescent="0.25">
      <c r="A134" s="4" t="s">
        <v>20</v>
      </c>
      <c r="B134" s="8">
        <v>5</v>
      </c>
      <c r="C134" s="8">
        <v>8</v>
      </c>
      <c r="D134" s="8">
        <v>3</v>
      </c>
      <c r="E134" s="8">
        <v>12</v>
      </c>
      <c r="F134" s="8">
        <v>7</v>
      </c>
      <c r="G134" s="8">
        <v>8</v>
      </c>
      <c r="H134" s="8">
        <v>9</v>
      </c>
      <c r="I134" s="8">
        <v>9</v>
      </c>
      <c r="J134" s="8">
        <v>5</v>
      </c>
      <c r="K134" s="8"/>
      <c r="L134" s="8">
        <v>3</v>
      </c>
      <c r="M134" s="8">
        <v>5</v>
      </c>
      <c r="N134" s="8">
        <v>5</v>
      </c>
      <c r="O134" s="8">
        <v>5</v>
      </c>
      <c r="P134" s="8">
        <v>10</v>
      </c>
      <c r="Q134" s="8">
        <v>94</v>
      </c>
    </row>
    <row r="135" spans="1:17" x14ac:dyDescent="0.25">
      <c r="A135" s="4" t="s">
        <v>41</v>
      </c>
      <c r="B135" s="8">
        <v>12</v>
      </c>
      <c r="C135" s="8">
        <v>4</v>
      </c>
      <c r="D135" s="8">
        <v>5</v>
      </c>
      <c r="E135" s="8">
        <v>9</v>
      </c>
      <c r="F135" s="8">
        <v>5</v>
      </c>
      <c r="G135" s="8">
        <v>4</v>
      </c>
      <c r="H135" s="8">
        <v>10</v>
      </c>
      <c r="I135" s="8">
        <v>11</v>
      </c>
      <c r="J135" s="8"/>
      <c r="K135" s="8">
        <v>2</v>
      </c>
      <c r="L135" s="8"/>
      <c r="M135" s="8">
        <v>1</v>
      </c>
      <c r="N135" s="8"/>
      <c r="O135" s="8">
        <v>2</v>
      </c>
      <c r="P135" s="8">
        <v>8</v>
      </c>
      <c r="Q135" s="8">
        <v>73</v>
      </c>
    </row>
    <row r="136" spans="1:17" x14ac:dyDescent="0.25">
      <c r="A136" s="4" t="s">
        <v>39</v>
      </c>
      <c r="B136" s="8"/>
      <c r="C136" s="8">
        <v>7</v>
      </c>
      <c r="D136" s="8"/>
      <c r="E136" s="8"/>
      <c r="F136" s="8">
        <v>7</v>
      </c>
      <c r="G136" s="8">
        <v>6</v>
      </c>
      <c r="H136" s="8">
        <v>5</v>
      </c>
      <c r="I136" s="8"/>
      <c r="J136" s="8">
        <v>3</v>
      </c>
      <c r="K136" s="8">
        <v>13</v>
      </c>
      <c r="L136" s="8">
        <v>5</v>
      </c>
      <c r="M136" s="8">
        <v>10</v>
      </c>
      <c r="N136" s="8">
        <v>5</v>
      </c>
      <c r="O136" s="8">
        <v>9</v>
      </c>
      <c r="P136" s="8"/>
      <c r="Q136" s="8">
        <v>70</v>
      </c>
    </row>
    <row r="137" spans="1:17" x14ac:dyDescent="0.25">
      <c r="A137" s="4" t="s">
        <v>55</v>
      </c>
      <c r="B137" s="8">
        <v>2</v>
      </c>
      <c r="C137" s="8">
        <v>4</v>
      </c>
      <c r="D137" s="8">
        <v>4</v>
      </c>
      <c r="E137" s="8"/>
      <c r="F137" s="8">
        <v>7</v>
      </c>
      <c r="G137" s="8">
        <v>3</v>
      </c>
      <c r="H137" s="8"/>
      <c r="I137" s="8">
        <v>4</v>
      </c>
      <c r="J137" s="8">
        <v>2</v>
      </c>
      <c r="K137" s="8">
        <v>14</v>
      </c>
      <c r="L137" s="8">
        <v>3</v>
      </c>
      <c r="M137" s="8">
        <v>5</v>
      </c>
      <c r="N137" s="8">
        <v>7</v>
      </c>
      <c r="O137" s="8">
        <v>6</v>
      </c>
      <c r="P137" s="8">
        <v>4</v>
      </c>
      <c r="Q137" s="8">
        <v>65</v>
      </c>
    </row>
    <row r="138" spans="1:17" x14ac:dyDescent="0.25">
      <c r="A138" s="4" t="s">
        <v>24</v>
      </c>
      <c r="B138" s="8">
        <v>9</v>
      </c>
      <c r="C138" s="8">
        <v>4</v>
      </c>
      <c r="D138" s="8">
        <v>11</v>
      </c>
      <c r="E138" s="8"/>
      <c r="F138" s="8">
        <v>1</v>
      </c>
      <c r="G138" s="8">
        <v>5</v>
      </c>
      <c r="H138" s="8">
        <v>7</v>
      </c>
      <c r="I138" s="8">
        <v>8</v>
      </c>
      <c r="J138" s="8">
        <v>5</v>
      </c>
      <c r="K138" s="8">
        <v>8</v>
      </c>
      <c r="L138" s="8"/>
      <c r="M138" s="8"/>
      <c r="N138" s="8">
        <v>9</v>
      </c>
      <c r="O138" s="8">
        <v>12</v>
      </c>
      <c r="P138" s="8"/>
      <c r="Q138" s="8">
        <v>79</v>
      </c>
    </row>
    <row r="139" spans="1:17" x14ac:dyDescent="0.25">
      <c r="A139" s="4" t="s">
        <v>79</v>
      </c>
      <c r="B139" s="8">
        <v>34</v>
      </c>
      <c r="C139" s="8">
        <v>40</v>
      </c>
      <c r="D139" s="8">
        <v>28</v>
      </c>
      <c r="E139" s="8">
        <v>23</v>
      </c>
      <c r="F139" s="8">
        <v>35</v>
      </c>
      <c r="G139" s="8">
        <v>28</v>
      </c>
      <c r="H139" s="8">
        <v>37</v>
      </c>
      <c r="I139" s="8">
        <v>33</v>
      </c>
      <c r="J139" s="8">
        <v>23</v>
      </c>
      <c r="K139" s="8">
        <v>47</v>
      </c>
      <c r="L139" s="8">
        <v>20</v>
      </c>
      <c r="M139" s="8">
        <v>31</v>
      </c>
      <c r="N139" s="8">
        <v>36</v>
      </c>
      <c r="O139" s="8">
        <v>39</v>
      </c>
      <c r="P139" s="8">
        <v>30</v>
      </c>
      <c r="Q139" s="8">
        <v>484</v>
      </c>
    </row>
    <row r="140" spans="1:17" x14ac:dyDescent="0.25">
      <c r="G140" s="3" t="s">
        <v>11</v>
      </c>
      <c r="H140" t="s">
        <v>17</v>
      </c>
    </row>
    <row r="142" spans="1:17" x14ac:dyDescent="0.25">
      <c r="G142" s="3" t="s">
        <v>78</v>
      </c>
      <c r="H142" t="s">
        <v>106</v>
      </c>
    </row>
    <row r="143" spans="1:17" x14ac:dyDescent="0.25">
      <c r="G143" s="4" t="s">
        <v>39</v>
      </c>
      <c r="H143" s="2">
        <v>65047.478260869568</v>
      </c>
    </row>
    <row r="144" spans="1:17" x14ac:dyDescent="0.25">
      <c r="G144" s="4" t="s">
        <v>20</v>
      </c>
      <c r="H144" s="2">
        <v>63932.542857142857</v>
      </c>
    </row>
    <row r="145" spans="2:10" x14ac:dyDescent="0.25">
      <c r="G145" s="4" t="s">
        <v>41</v>
      </c>
      <c r="H145" s="2">
        <v>57488.4</v>
      </c>
    </row>
    <row r="146" spans="2:10" x14ac:dyDescent="0.25">
      <c r="G146" s="4" t="s">
        <v>55</v>
      </c>
      <c r="H146" s="2">
        <v>56427.210526315786</v>
      </c>
    </row>
    <row r="147" spans="2:10" x14ac:dyDescent="0.25">
      <c r="G147" s="4" t="s">
        <v>15</v>
      </c>
      <c r="H147" s="2">
        <v>56154.805555555555</v>
      </c>
    </row>
    <row r="148" spans="2:10" x14ac:dyDescent="0.25">
      <c r="G148" s="4" t="s">
        <v>24</v>
      </c>
      <c r="H148" s="2">
        <v>55064.608695652176</v>
      </c>
    </row>
    <row r="155" spans="2:10" x14ac:dyDescent="0.25">
      <c r="H155" s="3" t="s">
        <v>11</v>
      </c>
      <c r="I155" t="s">
        <v>17</v>
      </c>
    </row>
    <row r="156" spans="2:10" x14ac:dyDescent="0.25">
      <c r="B156" s="3" t="s">
        <v>78</v>
      </c>
      <c r="C156" t="s">
        <v>106</v>
      </c>
    </row>
    <row r="157" spans="2:10" x14ac:dyDescent="0.25">
      <c r="B157" s="4" t="s">
        <v>21</v>
      </c>
      <c r="C157" s="2">
        <v>60941.183333333334</v>
      </c>
      <c r="H157" s="3" t="s">
        <v>106</v>
      </c>
      <c r="I157" s="3" t="s">
        <v>92</v>
      </c>
    </row>
    <row r="158" spans="2:10" x14ac:dyDescent="0.25">
      <c r="B158" s="4" t="s">
        <v>34</v>
      </c>
      <c r="C158" s="2">
        <v>52143.148936170212</v>
      </c>
      <c r="H158" s="3" t="s">
        <v>78</v>
      </c>
      <c r="I158" t="s">
        <v>14</v>
      </c>
      <c r="J158" t="s">
        <v>28</v>
      </c>
    </row>
    <row r="159" spans="2:10" x14ac:dyDescent="0.25">
      <c r="B159" s="4" t="s">
        <v>25</v>
      </c>
      <c r="C159" s="2">
        <v>60203.0625</v>
      </c>
      <c r="H159" s="4" t="s">
        <v>21</v>
      </c>
      <c r="I159" s="2">
        <v>61247.5</v>
      </c>
      <c r="J159" s="2">
        <v>61575.588235294119</v>
      </c>
    </row>
    <row r="160" spans="2:10" x14ac:dyDescent="0.25">
      <c r="B160" s="4" t="s">
        <v>31</v>
      </c>
      <c r="C160" s="2">
        <v>56778.876712328769</v>
      </c>
      <c r="H160" s="4" t="s">
        <v>34</v>
      </c>
      <c r="I160" s="2">
        <v>55054.75</v>
      </c>
      <c r="J160" s="2">
        <v>50061.555555555555</v>
      </c>
    </row>
    <row r="161" spans="2:10" x14ac:dyDescent="0.25">
      <c r="B161" s="4" t="s">
        <v>16</v>
      </c>
      <c r="C161" s="2">
        <v>55510.214285714283</v>
      </c>
      <c r="H161" s="4" t="s">
        <v>25</v>
      </c>
      <c r="I161" s="2">
        <v>60813.461538461539</v>
      </c>
      <c r="J161" s="2">
        <v>59867.833333333336</v>
      </c>
    </row>
    <row r="162" spans="2:10" x14ac:dyDescent="0.25">
      <c r="H162" s="4" t="s">
        <v>31</v>
      </c>
      <c r="I162" s="2">
        <v>66674.8</v>
      </c>
      <c r="J162" s="2">
        <v>58745.448275862072</v>
      </c>
    </row>
    <row r="163" spans="2:10" x14ac:dyDescent="0.25">
      <c r="H163" s="4" t="s">
        <v>16</v>
      </c>
      <c r="I163" s="2">
        <v>59068.769230769234</v>
      </c>
      <c r="J163" s="2">
        <v>57593.5</v>
      </c>
    </row>
    <row r="174" spans="2:10" x14ac:dyDescent="0.25">
      <c r="C174" s="3" t="s">
        <v>11</v>
      </c>
      <c r="D174" t="s">
        <v>26</v>
      </c>
      <c r="I174" s="3" t="s">
        <v>11</v>
      </c>
      <c r="J174" t="s">
        <v>17</v>
      </c>
    </row>
    <row r="175" spans="2:10" x14ac:dyDescent="0.25">
      <c r="C175" s="3" t="s">
        <v>9</v>
      </c>
      <c r="D175" t="s">
        <v>107</v>
      </c>
      <c r="I175" s="3" t="s">
        <v>9</v>
      </c>
      <c r="J175" t="s">
        <v>107</v>
      </c>
    </row>
    <row r="177" spans="3:10" x14ac:dyDescent="0.25">
      <c r="C177" s="3" t="s">
        <v>78</v>
      </c>
      <c r="D177" t="s">
        <v>106</v>
      </c>
      <c r="I177" s="3" t="s">
        <v>78</v>
      </c>
      <c r="J177" t="s">
        <v>106</v>
      </c>
    </row>
    <row r="178" spans="3:10" x14ac:dyDescent="0.25">
      <c r="C178" s="4" t="s">
        <v>24</v>
      </c>
      <c r="D178" s="2">
        <v>60179.857142857145</v>
      </c>
      <c r="I178" s="4" t="s">
        <v>20</v>
      </c>
      <c r="J178" s="2">
        <v>65948.454545454544</v>
      </c>
    </row>
    <row r="179" spans="3:10" x14ac:dyDescent="0.25">
      <c r="C179" s="4" t="s">
        <v>55</v>
      </c>
      <c r="D179" s="2">
        <v>55999</v>
      </c>
      <c r="I179" s="4" t="s">
        <v>39</v>
      </c>
      <c r="J179" s="2">
        <v>63949.555555555555</v>
      </c>
    </row>
    <row r="180" spans="3:10" x14ac:dyDescent="0.25">
      <c r="C180" s="4" t="s">
        <v>20</v>
      </c>
      <c r="D180" s="2">
        <v>55214.6</v>
      </c>
      <c r="I180" s="4" t="s">
        <v>24</v>
      </c>
      <c r="J180" s="2">
        <v>58877.307692307695</v>
      </c>
    </row>
    <row r="181" spans="3:10" x14ac:dyDescent="0.25">
      <c r="C181" s="4" t="s">
        <v>41</v>
      </c>
      <c r="D181" s="2">
        <v>54838</v>
      </c>
      <c r="I181" s="4" t="s">
        <v>41</v>
      </c>
      <c r="J181" s="2">
        <v>57808.444444444445</v>
      </c>
    </row>
    <row r="182" spans="3:10" x14ac:dyDescent="0.25">
      <c r="C182" s="4" t="s">
        <v>15</v>
      </c>
      <c r="D182" s="2">
        <v>54013.5</v>
      </c>
      <c r="I182" s="4" t="s">
        <v>55</v>
      </c>
      <c r="J182" s="2">
        <v>55218.909090909088</v>
      </c>
    </row>
    <row r="183" spans="3:10" x14ac:dyDescent="0.25">
      <c r="C183" s="4" t="s">
        <v>39</v>
      </c>
      <c r="D183" s="2">
        <v>47345.555555555555</v>
      </c>
      <c r="I183" s="4" t="s">
        <v>15</v>
      </c>
      <c r="J183" s="2">
        <v>52518.75</v>
      </c>
    </row>
  </sheetData>
  <pageMargins left="0.7" right="0.7" top="0.75" bottom="0.75" header="0.3" footer="0.3"/>
  <drawing r:id="rId22"/>
  <tableParts count="1">
    <tablePart r:id="rId23"/>
  </tableParts>
  <extLst>
    <ext xmlns:x14="http://schemas.microsoft.com/office/spreadsheetml/2009/9/main" uri="{A8765BA9-456A-4dab-B4F3-ACF838C121DE}">
      <x14:slicerList>
        <x14:slicer r:id="rId2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B00C-65C2-482C-ABF7-624BF1CD7BB1}">
  <dimension ref="D4:I18"/>
  <sheetViews>
    <sheetView workbookViewId="0">
      <selection activeCell="G22" sqref="G22"/>
    </sheetView>
  </sheetViews>
  <sheetFormatPr defaultRowHeight="15" x14ac:dyDescent="0.25"/>
  <cols>
    <col min="8" max="8" width="13.85546875" customWidth="1"/>
    <col min="9" max="9" width="15.140625" customWidth="1"/>
  </cols>
  <sheetData>
    <row r="4" spans="4:9" x14ac:dyDescent="0.25">
      <c r="D4" s="4" t="s">
        <v>15</v>
      </c>
      <c r="E4" s="8">
        <v>24</v>
      </c>
    </row>
    <row r="5" spans="4:9" x14ac:dyDescent="0.25">
      <c r="D5" s="4" t="s">
        <v>20</v>
      </c>
      <c r="E5" s="8">
        <v>23</v>
      </c>
    </row>
    <row r="6" spans="4:9" x14ac:dyDescent="0.25">
      <c r="D6" s="4" t="s">
        <v>41</v>
      </c>
      <c r="E6" s="8">
        <v>23</v>
      </c>
    </row>
    <row r="7" spans="4:9" x14ac:dyDescent="0.25">
      <c r="D7" s="4" t="s">
        <v>39</v>
      </c>
      <c r="E7" s="8">
        <v>24</v>
      </c>
    </row>
    <row r="8" spans="4:9" x14ac:dyDescent="0.25">
      <c r="D8" s="4" t="s">
        <v>55</v>
      </c>
      <c r="E8" s="8">
        <v>18</v>
      </c>
    </row>
    <row r="9" spans="4:9" x14ac:dyDescent="0.25">
      <c r="D9" s="4" t="s">
        <v>24</v>
      </c>
      <c r="E9" s="8">
        <v>27</v>
      </c>
    </row>
    <row r="12" spans="4:9" x14ac:dyDescent="0.25">
      <c r="D12" s="4" t="s">
        <v>15</v>
      </c>
      <c r="E12" s="8">
        <v>60</v>
      </c>
      <c r="H12" t="s">
        <v>5</v>
      </c>
      <c r="I12" t="s">
        <v>100</v>
      </c>
    </row>
    <row r="13" spans="4:9" x14ac:dyDescent="0.25">
      <c r="D13" s="4" t="s">
        <v>20</v>
      </c>
      <c r="E13" s="8">
        <v>58</v>
      </c>
      <c r="H13" s="4" t="s">
        <v>15</v>
      </c>
      <c r="I13" s="6">
        <f>E4/E12</f>
        <v>0.4</v>
      </c>
    </row>
    <row r="14" spans="4:9" x14ac:dyDescent="0.25">
      <c r="D14" s="4" t="s">
        <v>41</v>
      </c>
      <c r="E14" s="8">
        <v>48</v>
      </c>
      <c r="H14" s="4" t="s">
        <v>41</v>
      </c>
      <c r="I14" s="6">
        <f>E5/E13</f>
        <v>0.39655172413793105</v>
      </c>
    </row>
    <row r="15" spans="4:9" x14ac:dyDescent="0.25">
      <c r="D15" s="4" t="s">
        <v>39</v>
      </c>
      <c r="E15" s="8">
        <v>47</v>
      </c>
      <c r="H15" s="4" t="s">
        <v>20</v>
      </c>
      <c r="I15" s="6">
        <f>E6/E14</f>
        <v>0.47916666666666669</v>
      </c>
    </row>
    <row r="16" spans="4:9" x14ac:dyDescent="0.25">
      <c r="D16" s="4" t="s">
        <v>55</v>
      </c>
      <c r="E16" s="8">
        <v>37</v>
      </c>
      <c r="H16" s="4" t="s">
        <v>39</v>
      </c>
      <c r="I16" s="6">
        <f>E7/E15</f>
        <v>0.51063829787234039</v>
      </c>
    </row>
    <row r="17" spans="4:9" x14ac:dyDescent="0.25">
      <c r="D17" s="4" t="s">
        <v>24</v>
      </c>
      <c r="E17" s="8">
        <v>50</v>
      </c>
      <c r="H17" s="4" t="s">
        <v>24</v>
      </c>
      <c r="I17" s="6">
        <f>E8/E16</f>
        <v>0.48648648648648651</v>
      </c>
    </row>
    <row r="18" spans="4:9" x14ac:dyDescent="0.25">
      <c r="H18" s="4" t="s">
        <v>55</v>
      </c>
      <c r="I18" s="6">
        <f>E9/E17</f>
        <v>0.54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301"/>
  <sheetViews>
    <sheetView workbookViewId="0">
      <selection sqref="A1:N1"/>
    </sheetView>
  </sheetViews>
  <sheetFormatPr defaultRowHeight="15" x14ac:dyDescent="0.25"/>
  <cols>
    <col min="1" max="1" width="13.85546875" customWidth="1"/>
    <col min="2" max="2" width="12.28515625" customWidth="1"/>
    <col min="3" max="3" width="11.85546875" customWidth="1"/>
    <col min="4" max="4" width="14" customWidth="1"/>
    <col min="6" max="6" width="13.85546875" customWidth="1"/>
    <col min="7" max="7" width="10.140625" customWidth="1"/>
    <col min="8" max="8" width="11" style="1" customWidth="1"/>
    <col min="9" max="9" width="13" customWidth="1"/>
    <col min="10" max="10" width="19.42578125" style="2" customWidth="1"/>
    <col min="11" max="11" width="18.28515625" customWidth="1"/>
    <col min="12" max="12" width="10.7109375" customWidth="1"/>
  </cols>
  <sheetData>
    <row r="1" spans="1:15" x14ac:dyDescent="0.25">
      <c r="A1" t="s">
        <v>0</v>
      </c>
      <c r="B1" t="s">
        <v>1</v>
      </c>
      <c r="C1" t="s">
        <v>2</v>
      </c>
      <c r="D1" t="s">
        <v>76</v>
      </c>
      <c r="E1" t="s">
        <v>3</v>
      </c>
      <c r="F1" t="s">
        <v>4</v>
      </c>
      <c r="G1" t="s">
        <v>5</v>
      </c>
      <c r="H1" t="s">
        <v>6</v>
      </c>
      <c r="I1" s="1" t="s">
        <v>7</v>
      </c>
      <c r="J1" s="2" t="s">
        <v>8</v>
      </c>
      <c r="K1" t="s">
        <v>9</v>
      </c>
      <c r="L1" t="s">
        <v>10</v>
      </c>
      <c r="M1" t="s">
        <v>11</v>
      </c>
      <c r="N1" t="s">
        <v>93</v>
      </c>
      <c r="O1" t="s">
        <v>99</v>
      </c>
    </row>
    <row r="2" spans="1:15" x14ac:dyDescent="0.25">
      <c r="A2">
        <v>1</v>
      </c>
      <c r="B2" t="s">
        <v>12</v>
      </c>
      <c r="C2" t="s">
        <v>13</v>
      </c>
      <c r="D2" t="str">
        <f t="shared" ref="D2:D65" si="0">CONCATENATE(B2," ",C2)</f>
        <v>Susan Martin</v>
      </c>
      <c r="E2" t="s">
        <v>14</v>
      </c>
      <c r="F2">
        <v>32</v>
      </c>
      <c r="G2" t="s">
        <v>15</v>
      </c>
      <c r="H2" t="s">
        <v>16</v>
      </c>
      <c r="I2" s="1">
        <v>44612</v>
      </c>
      <c r="J2" s="2">
        <v>26067</v>
      </c>
      <c r="K2">
        <v>1</v>
      </c>
      <c r="L2">
        <v>3</v>
      </c>
      <c r="M2" t="s">
        <v>17</v>
      </c>
      <c r="N2" t="str">
        <f t="shared" ref="N2:N65" si="1">IF(AND(F2&gt;=20,F2&lt;=30),"20-30",IF(AND(F2&gt;=31,F2&lt;=40),"31-40",IF(AND(F2&gt;=41,F2&lt;=50),"41-50",IF(AND(F2&gt;=51,F2&lt;=60),"51-60"))))</f>
        <v>31-40</v>
      </c>
      <c r="O2">
        <f t="shared" ref="O2:O65" si="2">YEAR(I2)</f>
        <v>2022</v>
      </c>
    </row>
    <row r="3" spans="1:15" x14ac:dyDescent="0.25">
      <c r="A3">
        <v>2</v>
      </c>
      <c r="B3" t="s">
        <v>18</v>
      </c>
      <c r="C3" t="s">
        <v>19</v>
      </c>
      <c r="D3" t="str">
        <f t="shared" si="0"/>
        <v>Sarah Lewis</v>
      </c>
      <c r="E3" t="s">
        <v>14</v>
      </c>
      <c r="F3">
        <v>43</v>
      </c>
      <c r="G3" t="s">
        <v>20</v>
      </c>
      <c r="H3" t="s">
        <v>21</v>
      </c>
      <c r="I3" s="1">
        <v>44305</v>
      </c>
      <c r="J3" s="2">
        <v>45343</v>
      </c>
      <c r="K3">
        <v>1</v>
      </c>
      <c r="L3">
        <v>4</v>
      </c>
      <c r="M3" t="s">
        <v>17</v>
      </c>
      <c r="N3" t="str">
        <f t="shared" si="1"/>
        <v>41-50</v>
      </c>
      <c r="O3">
        <f t="shared" si="2"/>
        <v>2021</v>
      </c>
    </row>
    <row r="4" spans="1:15" x14ac:dyDescent="0.25">
      <c r="A4">
        <v>3</v>
      </c>
      <c r="B4" t="s">
        <v>22</v>
      </c>
      <c r="C4" t="s">
        <v>23</v>
      </c>
      <c r="D4" t="str">
        <f t="shared" si="0"/>
        <v>Olivia Johnson</v>
      </c>
      <c r="E4" t="s">
        <v>14</v>
      </c>
      <c r="F4">
        <v>22</v>
      </c>
      <c r="G4" t="s">
        <v>24</v>
      </c>
      <c r="H4" t="s">
        <v>25</v>
      </c>
      <c r="I4" s="1">
        <v>44793</v>
      </c>
      <c r="J4" s="2">
        <v>32920</v>
      </c>
      <c r="K4">
        <v>1</v>
      </c>
      <c r="L4">
        <v>3</v>
      </c>
      <c r="M4" t="s">
        <v>26</v>
      </c>
      <c r="N4" t="str">
        <f t="shared" si="1"/>
        <v>20-30</v>
      </c>
      <c r="O4">
        <f t="shared" si="2"/>
        <v>2022</v>
      </c>
    </row>
    <row r="5" spans="1:15" x14ac:dyDescent="0.25">
      <c r="A5">
        <v>4</v>
      </c>
      <c r="B5" t="s">
        <v>27</v>
      </c>
      <c r="C5" t="s">
        <v>23</v>
      </c>
      <c r="D5" t="str">
        <f t="shared" si="0"/>
        <v>Robert Johnson</v>
      </c>
      <c r="E5" t="s">
        <v>28</v>
      </c>
      <c r="F5">
        <v>24</v>
      </c>
      <c r="G5" t="s">
        <v>24</v>
      </c>
      <c r="H5" t="s">
        <v>21</v>
      </c>
      <c r="I5" s="1">
        <v>42173</v>
      </c>
      <c r="J5" s="2">
        <v>43170</v>
      </c>
      <c r="K5">
        <v>5</v>
      </c>
      <c r="L5">
        <v>10</v>
      </c>
      <c r="M5" t="s">
        <v>17</v>
      </c>
      <c r="N5" t="str">
        <f t="shared" si="1"/>
        <v>20-30</v>
      </c>
      <c r="O5">
        <f t="shared" si="2"/>
        <v>2015</v>
      </c>
    </row>
    <row r="6" spans="1:15" x14ac:dyDescent="0.25">
      <c r="A6">
        <v>5</v>
      </c>
      <c r="B6" t="s">
        <v>29</v>
      </c>
      <c r="C6" t="s">
        <v>30</v>
      </c>
      <c r="D6" t="str">
        <f t="shared" si="0"/>
        <v>Jennifer Lee</v>
      </c>
      <c r="E6" t="s">
        <v>14</v>
      </c>
      <c r="F6">
        <v>59</v>
      </c>
      <c r="G6" t="s">
        <v>15</v>
      </c>
      <c r="H6" t="s">
        <v>31</v>
      </c>
      <c r="I6" s="1">
        <v>41290</v>
      </c>
      <c r="J6" s="2">
        <v>69143</v>
      </c>
      <c r="K6">
        <v>2</v>
      </c>
      <c r="L6">
        <v>13</v>
      </c>
      <c r="M6" t="s">
        <v>17</v>
      </c>
      <c r="N6" t="str">
        <f t="shared" si="1"/>
        <v>51-60</v>
      </c>
      <c r="O6">
        <f t="shared" si="2"/>
        <v>2013</v>
      </c>
    </row>
    <row r="7" spans="1:15" x14ac:dyDescent="0.25">
      <c r="A7">
        <v>6</v>
      </c>
      <c r="B7" t="s">
        <v>32</v>
      </c>
      <c r="C7" t="s">
        <v>33</v>
      </c>
      <c r="D7" t="str">
        <f t="shared" si="0"/>
        <v>Karen Hall</v>
      </c>
      <c r="E7" t="s">
        <v>14</v>
      </c>
      <c r="F7">
        <v>51</v>
      </c>
      <c r="G7" t="s">
        <v>15</v>
      </c>
      <c r="H7" t="s">
        <v>34</v>
      </c>
      <c r="I7" s="1">
        <v>40685</v>
      </c>
      <c r="J7" s="2">
        <v>25874</v>
      </c>
      <c r="K7">
        <v>4</v>
      </c>
      <c r="L7">
        <v>14</v>
      </c>
      <c r="M7" t="s">
        <v>17</v>
      </c>
      <c r="N7" t="str">
        <f t="shared" si="1"/>
        <v>51-60</v>
      </c>
      <c r="O7">
        <f t="shared" si="2"/>
        <v>2011</v>
      </c>
    </row>
    <row r="8" spans="1:15" x14ac:dyDescent="0.25">
      <c r="A8">
        <v>7</v>
      </c>
      <c r="B8" t="s">
        <v>22</v>
      </c>
      <c r="C8" t="s">
        <v>35</v>
      </c>
      <c r="D8" t="str">
        <f t="shared" si="0"/>
        <v>Olivia Thomas</v>
      </c>
      <c r="E8" t="s">
        <v>14</v>
      </c>
      <c r="F8">
        <v>35</v>
      </c>
      <c r="G8" t="s">
        <v>20</v>
      </c>
      <c r="H8" t="s">
        <v>25</v>
      </c>
      <c r="I8" s="1">
        <v>40423</v>
      </c>
      <c r="J8" s="2">
        <v>60796</v>
      </c>
      <c r="K8">
        <v>1</v>
      </c>
      <c r="L8">
        <v>15</v>
      </c>
      <c r="M8" t="s">
        <v>26</v>
      </c>
      <c r="N8" t="str">
        <f t="shared" si="1"/>
        <v>31-40</v>
      </c>
      <c r="O8">
        <f t="shared" si="2"/>
        <v>2010</v>
      </c>
    </row>
    <row r="9" spans="1:15" x14ac:dyDescent="0.25">
      <c r="A9">
        <v>8</v>
      </c>
      <c r="B9" t="s">
        <v>36</v>
      </c>
      <c r="C9" t="s">
        <v>37</v>
      </c>
      <c r="D9" t="str">
        <f t="shared" si="0"/>
        <v>Michael Taylor</v>
      </c>
      <c r="E9" t="s">
        <v>28</v>
      </c>
      <c r="F9">
        <v>55</v>
      </c>
      <c r="G9" t="s">
        <v>15</v>
      </c>
      <c r="H9" t="s">
        <v>21</v>
      </c>
      <c r="I9" s="1">
        <v>42045</v>
      </c>
      <c r="J9" s="2">
        <v>94245</v>
      </c>
      <c r="K9">
        <v>1</v>
      </c>
      <c r="L9">
        <v>10</v>
      </c>
      <c r="M9" t="s">
        <v>17</v>
      </c>
      <c r="N9" t="str">
        <f t="shared" si="1"/>
        <v>51-60</v>
      </c>
      <c r="O9">
        <f t="shared" si="2"/>
        <v>2015</v>
      </c>
    </row>
    <row r="10" spans="1:15" x14ac:dyDescent="0.25">
      <c r="A10">
        <v>9</v>
      </c>
      <c r="B10" t="s">
        <v>38</v>
      </c>
      <c r="C10" t="s">
        <v>35</v>
      </c>
      <c r="D10" t="str">
        <f t="shared" si="0"/>
        <v>Mary Thomas</v>
      </c>
      <c r="E10" t="s">
        <v>14</v>
      </c>
      <c r="F10">
        <v>44</v>
      </c>
      <c r="G10" t="s">
        <v>39</v>
      </c>
      <c r="H10" t="s">
        <v>31</v>
      </c>
      <c r="I10" s="1">
        <v>40743</v>
      </c>
      <c r="J10" s="2">
        <v>93619</v>
      </c>
      <c r="K10">
        <v>2</v>
      </c>
      <c r="L10">
        <v>14</v>
      </c>
      <c r="M10" t="s">
        <v>17</v>
      </c>
      <c r="N10" t="str">
        <f t="shared" si="1"/>
        <v>41-50</v>
      </c>
      <c r="O10">
        <f t="shared" si="2"/>
        <v>2011</v>
      </c>
    </row>
    <row r="11" spans="1:15" x14ac:dyDescent="0.25">
      <c r="A11">
        <v>10</v>
      </c>
      <c r="B11" t="s">
        <v>40</v>
      </c>
      <c r="C11" t="s">
        <v>35</v>
      </c>
      <c r="D11" t="str">
        <f t="shared" si="0"/>
        <v>John Thomas</v>
      </c>
      <c r="E11" t="s">
        <v>28</v>
      </c>
      <c r="F11">
        <v>37</v>
      </c>
      <c r="G11" t="s">
        <v>41</v>
      </c>
      <c r="H11" t="s">
        <v>16</v>
      </c>
      <c r="I11" s="1">
        <v>42366</v>
      </c>
      <c r="J11" s="2">
        <v>61688</v>
      </c>
      <c r="K11">
        <v>1</v>
      </c>
      <c r="L11">
        <v>10</v>
      </c>
      <c r="M11" t="s">
        <v>26</v>
      </c>
      <c r="N11" t="str">
        <f t="shared" si="1"/>
        <v>31-40</v>
      </c>
      <c r="O11">
        <f t="shared" si="2"/>
        <v>2015</v>
      </c>
    </row>
    <row r="12" spans="1:15" x14ac:dyDescent="0.25">
      <c r="A12">
        <v>11</v>
      </c>
      <c r="B12" t="s">
        <v>42</v>
      </c>
      <c r="C12" t="s">
        <v>43</v>
      </c>
      <c r="D12" t="str">
        <f t="shared" si="0"/>
        <v>William Jackson</v>
      </c>
      <c r="E12" t="s">
        <v>28</v>
      </c>
      <c r="F12">
        <v>44</v>
      </c>
      <c r="G12" t="s">
        <v>15</v>
      </c>
      <c r="H12" t="s">
        <v>16</v>
      </c>
      <c r="I12" s="1">
        <v>44788</v>
      </c>
      <c r="J12" s="2">
        <v>31572</v>
      </c>
      <c r="K12">
        <v>5</v>
      </c>
      <c r="L12">
        <v>3</v>
      </c>
      <c r="M12" t="s">
        <v>26</v>
      </c>
      <c r="N12" t="str">
        <f t="shared" si="1"/>
        <v>41-50</v>
      </c>
      <c r="O12">
        <f t="shared" si="2"/>
        <v>2022</v>
      </c>
    </row>
    <row r="13" spans="1:15" x14ac:dyDescent="0.25">
      <c r="A13">
        <v>12</v>
      </c>
      <c r="B13" t="s">
        <v>44</v>
      </c>
      <c r="C13" t="s">
        <v>45</v>
      </c>
      <c r="D13" t="str">
        <f t="shared" si="0"/>
        <v>Sophia White</v>
      </c>
      <c r="E13" t="s">
        <v>14</v>
      </c>
      <c r="F13">
        <v>28</v>
      </c>
      <c r="G13" t="s">
        <v>41</v>
      </c>
      <c r="H13" t="s">
        <v>16</v>
      </c>
      <c r="I13" s="1">
        <v>45458</v>
      </c>
      <c r="J13" s="2">
        <v>89225</v>
      </c>
      <c r="K13">
        <v>2</v>
      </c>
      <c r="L13">
        <v>1</v>
      </c>
      <c r="M13" t="s">
        <v>17</v>
      </c>
      <c r="N13" t="str">
        <f t="shared" si="1"/>
        <v>20-30</v>
      </c>
      <c r="O13">
        <f t="shared" si="2"/>
        <v>2024</v>
      </c>
    </row>
    <row r="14" spans="1:15" x14ac:dyDescent="0.25">
      <c r="A14">
        <v>13</v>
      </c>
      <c r="B14" t="s">
        <v>12</v>
      </c>
      <c r="C14" t="s">
        <v>46</v>
      </c>
      <c r="D14" t="str">
        <f t="shared" si="0"/>
        <v>Susan Walker</v>
      </c>
      <c r="E14" t="s">
        <v>14</v>
      </c>
      <c r="F14">
        <v>44</v>
      </c>
      <c r="G14" t="s">
        <v>15</v>
      </c>
      <c r="H14" t="s">
        <v>16</v>
      </c>
      <c r="I14" s="1">
        <v>42219</v>
      </c>
      <c r="J14" s="2">
        <v>51786</v>
      </c>
      <c r="K14">
        <v>1</v>
      </c>
      <c r="L14">
        <v>10</v>
      </c>
      <c r="M14" t="s">
        <v>17</v>
      </c>
      <c r="N14" t="str">
        <f t="shared" si="1"/>
        <v>41-50</v>
      </c>
      <c r="O14">
        <f t="shared" si="2"/>
        <v>2015</v>
      </c>
    </row>
    <row r="15" spans="1:15" x14ac:dyDescent="0.25">
      <c r="A15">
        <v>14</v>
      </c>
      <c r="B15" t="s">
        <v>47</v>
      </c>
      <c r="C15" t="s">
        <v>48</v>
      </c>
      <c r="D15" t="str">
        <f t="shared" si="0"/>
        <v>David Thompson</v>
      </c>
      <c r="E15" t="s">
        <v>28</v>
      </c>
      <c r="F15">
        <v>24</v>
      </c>
      <c r="G15" t="s">
        <v>15</v>
      </c>
      <c r="H15" t="s">
        <v>25</v>
      </c>
      <c r="I15" s="1">
        <v>42146</v>
      </c>
      <c r="J15" s="2">
        <v>83984</v>
      </c>
      <c r="K15">
        <v>3</v>
      </c>
      <c r="L15">
        <v>10</v>
      </c>
      <c r="M15" t="s">
        <v>26</v>
      </c>
      <c r="N15" t="str">
        <f t="shared" si="1"/>
        <v>20-30</v>
      </c>
      <c r="O15">
        <f t="shared" si="2"/>
        <v>2015</v>
      </c>
    </row>
    <row r="16" spans="1:15" x14ac:dyDescent="0.25">
      <c r="A16">
        <v>15</v>
      </c>
      <c r="B16" t="s">
        <v>47</v>
      </c>
      <c r="C16" t="s">
        <v>19</v>
      </c>
      <c r="D16" t="str">
        <f t="shared" si="0"/>
        <v>David Lewis</v>
      </c>
      <c r="E16" t="s">
        <v>28</v>
      </c>
      <c r="F16">
        <v>39</v>
      </c>
      <c r="G16" t="s">
        <v>24</v>
      </c>
      <c r="H16" t="s">
        <v>31</v>
      </c>
      <c r="I16" s="1">
        <v>44686</v>
      </c>
      <c r="J16" s="2">
        <v>48627</v>
      </c>
      <c r="K16">
        <v>3</v>
      </c>
      <c r="L16">
        <v>3</v>
      </c>
      <c r="M16" t="s">
        <v>17</v>
      </c>
      <c r="N16" t="str">
        <f t="shared" si="1"/>
        <v>31-40</v>
      </c>
      <c r="O16">
        <f t="shared" si="2"/>
        <v>2022</v>
      </c>
    </row>
    <row r="17" spans="1:15" x14ac:dyDescent="0.25">
      <c r="A17">
        <v>16</v>
      </c>
      <c r="B17" t="s">
        <v>49</v>
      </c>
      <c r="C17" t="s">
        <v>23</v>
      </c>
      <c r="D17" t="str">
        <f t="shared" si="0"/>
        <v>Barbara Johnson</v>
      </c>
      <c r="E17" t="s">
        <v>14</v>
      </c>
      <c r="F17">
        <v>33</v>
      </c>
      <c r="G17" t="s">
        <v>20</v>
      </c>
      <c r="H17" t="s">
        <v>34</v>
      </c>
      <c r="I17" s="1">
        <v>45431</v>
      </c>
      <c r="J17" s="2">
        <v>92892</v>
      </c>
      <c r="K17">
        <v>5</v>
      </c>
      <c r="L17">
        <v>1</v>
      </c>
      <c r="M17" t="s">
        <v>17</v>
      </c>
      <c r="N17" t="str">
        <f t="shared" si="1"/>
        <v>31-40</v>
      </c>
      <c r="O17">
        <f t="shared" si="2"/>
        <v>2024</v>
      </c>
    </row>
    <row r="18" spans="1:15" x14ac:dyDescent="0.25">
      <c r="A18">
        <v>17</v>
      </c>
      <c r="B18" t="s">
        <v>50</v>
      </c>
      <c r="C18" t="s">
        <v>43</v>
      </c>
      <c r="D18" t="str">
        <f t="shared" si="0"/>
        <v>Anthony Jackson</v>
      </c>
      <c r="E18" t="s">
        <v>28</v>
      </c>
      <c r="F18">
        <v>26</v>
      </c>
      <c r="G18" t="s">
        <v>24</v>
      </c>
      <c r="H18" t="s">
        <v>31</v>
      </c>
      <c r="I18" s="1">
        <v>45558</v>
      </c>
      <c r="J18" s="2">
        <v>79802</v>
      </c>
      <c r="K18">
        <v>5</v>
      </c>
      <c r="L18">
        <v>1</v>
      </c>
      <c r="M18" t="s">
        <v>26</v>
      </c>
      <c r="N18" t="str">
        <f t="shared" si="1"/>
        <v>20-30</v>
      </c>
      <c r="O18">
        <f t="shared" si="2"/>
        <v>2024</v>
      </c>
    </row>
    <row r="19" spans="1:15" x14ac:dyDescent="0.25">
      <c r="A19">
        <v>18</v>
      </c>
      <c r="B19" t="s">
        <v>51</v>
      </c>
      <c r="C19" t="s">
        <v>52</v>
      </c>
      <c r="D19" t="str">
        <f t="shared" si="0"/>
        <v>Paul Allen</v>
      </c>
      <c r="E19" t="s">
        <v>28</v>
      </c>
      <c r="F19">
        <v>34</v>
      </c>
      <c r="G19" t="s">
        <v>41</v>
      </c>
      <c r="H19" t="s">
        <v>25</v>
      </c>
      <c r="I19" s="1">
        <v>45599</v>
      </c>
      <c r="J19" s="2">
        <v>87264</v>
      </c>
      <c r="K19">
        <v>5</v>
      </c>
      <c r="L19">
        <v>1</v>
      </c>
      <c r="M19" t="s">
        <v>17</v>
      </c>
      <c r="N19" t="str">
        <f t="shared" si="1"/>
        <v>31-40</v>
      </c>
      <c r="O19">
        <f t="shared" si="2"/>
        <v>2024</v>
      </c>
    </row>
    <row r="20" spans="1:15" x14ac:dyDescent="0.25">
      <c r="A20">
        <v>19</v>
      </c>
      <c r="B20" t="s">
        <v>53</v>
      </c>
      <c r="C20" t="s">
        <v>30</v>
      </c>
      <c r="D20" t="str">
        <f t="shared" si="0"/>
        <v>Linda Lee</v>
      </c>
      <c r="E20" t="s">
        <v>14</v>
      </c>
      <c r="F20">
        <v>33</v>
      </c>
      <c r="G20" t="s">
        <v>41</v>
      </c>
      <c r="H20" t="s">
        <v>16</v>
      </c>
      <c r="I20" s="1">
        <v>41676</v>
      </c>
      <c r="J20" s="2">
        <v>42346</v>
      </c>
      <c r="K20">
        <v>5</v>
      </c>
      <c r="L20">
        <v>11</v>
      </c>
      <c r="M20" t="s">
        <v>17</v>
      </c>
      <c r="N20" t="str">
        <f t="shared" si="1"/>
        <v>31-40</v>
      </c>
      <c r="O20">
        <f t="shared" si="2"/>
        <v>2014</v>
      </c>
    </row>
    <row r="21" spans="1:15" x14ac:dyDescent="0.25">
      <c r="A21">
        <v>20</v>
      </c>
      <c r="B21" t="s">
        <v>29</v>
      </c>
      <c r="C21" t="s">
        <v>54</v>
      </c>
      <c r="D21" t="str">
        <f t="shared" si="0"/>
        <v>Jennifer Smith</v>
      </c>
      <c r="E21" t="s">
        <v>14</v>
      </c>
      <c r="F21">
        <v>32</v>
      </c>
      <c r="G21" t="s">
        <v>55</v>
      </c>
      <c r="H21" t="s">
        <v>31</v>
      </c>
      <c r="I21" s="1">
        <v>42305</v>
      </c>
      <c r="J21" s="2">
        <v>53661</v>
      </c>
      <c r="K21">
        <v>3</v>
      </c>
      <c r="L21">
        <v>10</v>
      </c>
      <c r="M21" t="s">
        <v>17</v>
      </c>
      <c r="N21" t="str">
        <f t="shared" si="1"/>
        <v>31-40</v>
      </c>
      <c r="O21">
        <f t="shared" si="2"/>
        <v>2015</v>
      </c>
    </row>
    <row r="22" spans="1:15" x14ac:dyDescent="0.25">
      <c r="A22">
        <v>21</v>
      </c>
      <c r="B22" t="s">
        <v>44</v>
      </c>
      <c r="C22" t="s">
        <v>56</v>
      </c>
      <c r="D22" t="str">
        <f t="shared" si="0"/>
        <v>Sophia Garcia</v>
      </c>
      <c r="E22" t="s">
        <v>14</v>
      </c>
      <c r="F22">
        <v>56</v>
      </c>
      <c r="G22" t="s">
        <v>24</v>
      </c>
      <c r="H22" t="s">
        <v>34</v>
      </c>
      <c r="I22" s="1">
        <v>44750</v>
      </c>
      <c r="J22" s="2">
        <v>53670</v>
      </c>
      <c r="K22">
        <v>5</v>
      </c>
      <c r="L22">
        <v>3</v>
      </c>
      <c r="M22" t="s">
        <v>26</v>
      </c>
      <c r="N22" t="str">
        <f t="shared" si="1"/>
        <v>51-60</v>
      </c>
      <c r="O22">
        <f t="shared" si="2"/>
        <v>2022</v>
      </c>
    </row>
    <row r="23" spans="1:15" x14ac:dyDescent="0.25">
      <c r="A23">
        <v>22</v>
      </c>
      <c r="B23" t="s">
        <v>57</v>
      </c>
      <c r="C23" t="s">
        <v>58</v>
      </c>
      <c r="D23" t="str">
        <f t="shared" si="0"/>
        <v>Patricia Clark</v>
      </c>
      <c r="E23" t="s">
        <v>14</v>
      </c>
      <c r="F23">
        <v>25</v>
      </c>
      <c r="G23" t="s">
        <v>20</v>
      </c>
      <c r="H23" t="s">
        <v>16</v>
      </c>
      <c r="I23" s="1">
        <v>40434</v>
      </c>
      <c r="J23" s="2">
        <v>65033</v>
      </c>
      <c r="K23">
        <v>4</v>
      </c>
      <c r="L23">
        <v>15</v>
      </c>
      <c r="M23" t="s">
        <v>26</v>
      </c>
      <c r="N23" t="str">
        <f t="shared" si="1"/>
        <v>20-30</v>
      </c>
      <c r="O23">
        <f t="shared" si="2"/>
        <v>2010</v>
      </c>
    </row>
    <row r="24" spans="1:15" x14ac:dyDescent="0.25">
      <c r="A24">
        <v>23</v>
      </c>
      <c r="B24" t="s">
        <v>35</v>
      </c>
      <c r="C24" t="s">
        <v>59</v>
      </c>
      <c r="D24" t="str">
        <f t="shared" si="0"/>
        <v>Thomas Martinez</v>
      </c>
      <c r="E24" t="s">
        <v>28</v>
      </c>
      <c r="F24">
        <v>41</v>
      </c>
      <c r="G24" t="s">
        <v>39</v>
      </c>
      <c r="H24" t="s">
        <v>34</v>
      </c>
      <c r="I24" s="1">
        <v>41814</v>
      </c>
      <c r="J24" s="2">
        <v>41012</v>
      </c>
      <c r="K24">
        <v>5</v>
      </c>
      <c r="L24">
        <v>11</v>
      </c>
      <c r="M24" t="s">
        <v>17</v>
      </c>
      <c r="N24" t="str">
        <f t="shared" si="1"/>
        <v>41-50</v>
      </c>
      <c r="O24">
        <f t="shared" si="2"/>
        <v>2014</v>
      </c>
    </row>
    <row r="25" spans="1:15" x14ac:dyDescent="0.25">
      <c r="A25">
        <v>24</v>
      </c>
      <c r="B25" t="s">
        <v>40</v>
      </c>
      <c r="C25" t="s">
        <v>56</v>
      </c>
      <c r="D25" t="str">
        <f t="shared" si="0"/>
        <v>John Garcia</v>
      </c>
      <c r="E25" t="s">
        <v>28</v>
      </c>
      <c r="F25">
        <v>34</v>
      </c>
      <c r="G25" t="s">
        <v>55</v>
      </c>
      <c r="H25" t="s">
        <v>16</v>
      </c>
      <c r="I25" s="1">
        <v>42442</v>
      </c>
      <c r="J25" s="2">
        <v>50555</v>
      </c>
      <c r="K25">
        <v>4</v>
      </c>
      <c r="L25">
        <v>9</v>
      </c>
      <c r="M25" t="s">
        <v>26</v>
      </c>
      <c r="N25" t="str">
        <f t="shared" si="1"/>
        <v>31-40</v>
      </c>
      <c r="O25">
        <f t="shared" si="2"/>
        <v>2016</v>
      </c>
    </row>
    <row r="26" spans="1:15" x14ac:dyDescent="0.25">
      <c r="A26">
        <v>25</v>
      </c>
      <c r="B26" t="s">
        <v>60</v>
      </c>
      <c r="C26" t="s">
        <v>19</v>
      </c>
      <c r="D26" t="str">
        <f t="shared" si="0"/>
        <v>Elizabeth Lewis</v>
      </c>
      <c r="E26" t="s">
        <v>14</v>
      </c>
      <c r="F26">
        <v>27</v>
      </c>
      <c r="G26" t="s">
        <v>15</v>
      </c>
      <c r="H26" t="s">
        <v>34</v>
      </c>
      <c r="I26" s="1">
        <v>44114</v>
      </c>
      <c r="J26" s="2">
        <v>60747</v>
      </c>
      <c r="K26">
        <v>5</v>
      </c>
      <c r="L26">
        <v>5</v>
      </c>
      <c r="M26" t="s">
        <v>17</v>
      </c>
      <c r="N26" t="str">
        <f t="shared" si="1"/>
        <v>20-30</v>
      </c>
      <c r="O26">
        <f t="shared" si="2"/>
        <v>2020</v>
      </c>
    </row>
    <row r="27" spans="1:15" x14ac:dyDescent="0.25">
      <c r="A27">
        <v>26</v>
      </c>
      <c r="B27" t="s">
        <v>27</v>
      </c>
      <c r="C27" t="s">
        <v>43</v>
      </c>
      <c r="D27" t="str">
        <f t="shared" si="0"/>
        <v>Robert Jackson</v>
      </c>
      <c r="E27" t="s">
        <v>28</v>
      </c>
      <c r="F27">
        <v>31</v>
      </c>
      <c r="G27" t="s">
        <v>41</v>
      </c>
      <c r="H27" t="s">
        <v>31</v>
      </c>
      <c r="I27" s="1">
        <v>44768</v>
      </c>
      <c r="J27" s="2">
        <v>64616</v>
      </c>
      <c r="K27">
        <v>4</v>
      </c>
      <c r="L27">
        <v>3</v>
      </c>
      <c r="M27" t="s">
        <v>26</v>
      </c>
      <c r="N27" t="str">
        <f t="shared" si="1"/>
        <v>31-40</v>
      </c>
      <c r="O27">
        <f t="shared" si="2"/>
        <v>2022</v>
      </c>
    </row>
    <row r="28" spans="1:15" x14ac:dyDescent="0.25">
      <c r="A28">
        <v>27</v>
      </c>
      <c r="B28" t="s">
        <v>61</v>
      </c>
      <c r="C28" t="s">
        <v>30</v>
      </c>
      <c r="D28" t="str">
        <f t="shared" si="0"/>
        <v>Christopher Lee</v>
      </c>
      <c r="E28" t="s">
        <v>28</v>
      </c>
      <c r="F28">
        <v>30</v>
      </c>
      <c r="G28" t="s">
        <v>41</v>
      </c>
      <c r="H28" t="s">
        <v>25</v>
      </c>
      <c r="I28" s="1">
        <v>40378</v>
      </c>
      <c r="J28" s="2">
        <v>43918</v>
      </c>
      <c r="K28">
        <v>5</v>
      </c>
      <c r="L28">
        <v>15</v>
      </c>
      <c r="M28" t="s">
        <v>17</v>
      </c>
      <c r="N28" t="str">
        <f t="shared" si="1"/>
        <v>20-30</v>
      </c>
      <c r="O28">
        <f t="shared" si="2"/>
        <v>2010</v>
      </c>
    </row>
    <row r="29" spans="1:15" x14ac:dyDescent="0.25">
      <c r="A29">
        <v>28</v>
      </c>
      <c r="B29" t="s">
        <v>62</v>
      </c>
      <c r="C29" t="s">
        <v>43</v>
      </c>
      <c r="D29" t="str">
        <f t="shared" si="0"/>
        <v>Jessica Jackson</v>
      </c>
      <c r="E29" t="s">
        <v>14</v>
      </c>
      <c r="F29">
        <v>37</v>
      </c>
      <c r="G29" t="s">
        <v>15</v>
      </c>
      <c r="H29" t="s">
        <v>16</v>
      </c>
      <c r="I29" s="1">
        <v>43960</v>
      </c>
      <c r="J29" s="2">
        <v>29809</v>
      </c>
      <c r="K29">
        <v>3</v>
      </c>
      <c r="L29">
        <v>5</v>
      </c>
      <c r="M29" t="s">
        <v>26</v>
      </c>
      <c r="N29" t="str">
        <f t="shared" si="1"/>
        <v>31-40</v>
      </c>
      <c r="O29">
        <f t="shared" si="2"/>
        <v>2020</v>
      </c>
    </row>
    <row r="30" spans="1:15" x14ac:dyDescent="0.25">
      <c r="A30">
        <v>29</v>
      </c>
      <c r="B30" t="s">
        <v>63</v>
      </c>
      <c r="C30" t="s">
        <v>59</v>
      </c>
      <c r="D30" t="str">
        <f t="shared" si="0"/>
        <v>Steven Martinez</v>
      </c>
      <c r="E30" t="s">
        <v>28</v>
      </c>
      <c r="F30">
        <v>50</v>
      </c>
      <c r="G30" t="s">
        <v>41</v>
      </c>
      <c r="H30" t="s">
        <v>31</v>
      </c>
      <c r="I30" s="1">
        <v>41135</v>
      </c>
      <c r="J30" s="2">
        <v>48104</v>
      </c>
      <c r="K30">
        <v>5</v>
      </c>
      <c r="L30">
        <v>13</v>
      </c>
      <c r="M30" t="s">
        <v>17</v>
      </c>
      <c r="N30" t="str">
        <f t="shared" si="1"/>
        <v>41-50</v>
      </c>
      <c r="O30">
        <f t="shared" si="2"/>
        <v>2012</v>
      </c>
    </row>
    <row r="31" spans="1:15" x14ac:dyDescent="0.25">
      <c r="A31">
        <v>30</v>
      </c>
      <c r="B31" t="s">
        <v>60</v>
      </c>
      <c r="C31" t="s">
        <v>35</v>
      </c>
      <c r="D31" t="str">
        <f t="shared" si="0"/>
        <v>Elizabeth Thomas</v>
      </c>
      <c r="E31" t="s">
        <v>14</v>
      </c>
      <c r="F31">
        <v>33</v>
      </c>
      <c r="G31" t="s">
        <v>39</v>
      </c>
      <c r="H31" t="s">
        <v>21</v>
      </c>
      <c r="I31" s="1">
        <v>43202</v>
      </c>
      <c r="J31" s="2">
        <v>80499</v>
      </c>
      <c r="K31">
        <v>1</v>
      </c>
      <c r="L31">
        <v>7</v>
      </c>
      <c r="M31" t="s">
        <v>17</v>
      </c>
      <c r="N31" t="str">
        <f t="shared" si="1"/>
        <v>31-40</v>
      </c>
      <c r="O31">
        <f t="shared" si="2"/>
        <v>2018</v>
      </c>
    </row>
    <row r="32" spans="1:15" x14ac:dyDescent="0.25">
      <c r="A32">
        <v>31</v>
      </c>
      <c r="B32" t="s">
        <v>62</v>
      </c>
      <c r="C32" t="s">
        <v>58</v>
      </c>
      <c r="D32" t="str">
        <f t="shared" si="0"/>
        <v>Jessica Clark</v>
      </c>
      <c r="E32" t="s">
        <v>14</v>
      </c>
      <c r="F32">
        <v>56</v>
      </c>
      <c r="G32" t="s">
        <v>41</v>
      </c>
      <c r="H32" t="s">
        <v>16</v>
      </c>
      <c r="I32" s="1">
        <v>44778</v>
      </c>
      <c r="J32" s="2">
        <v>58766</v>
      </c>
      <c r="K32">
        <v>3</v>
      </c>
      <c r="L32">
        <v>3</v>
      </c>
      <c r="M32" t="s">
        <v>26</v>
      </c>
      <c r="N32" t="str">
        <f t="shared" si="1"/>
        <v>51-60</v>
      </c>
      <c r="O32">
        <f t="shared" si="2"/>
        <v>2022</v>
      </c>
    </row>
    <row r="33" spans="1:15" x14ac:dyDescent="0.25">
      <c r="A33">
        <v>32</v>
      </c>
      <c r="B33" t="s">
        <v>44</v>
      </c>
      <c r="C33" t="s">
        <v>58</v>
      </c>
      <c r="D33" t="str">
        <f t="shared" si="0"/>
        <v>Sophia Clark</v>
      </c>
      <c r="E33" t="s">
        <v>14</v>
      </c>
      <c r="F33">
        <v>31</v>
      </c>
      <c r="G33" t="s">
        <v>39</v>
      </c>
      <c r="H33" t="s">
        <v>16</v>
      </c>
      <c r="I33" s="1">
        <v>45155</v>
      </c>
      <c r="J33" s="2">
        <v>61522</v>
      </c>
      <c r="K33">
        <v>3</v>
      </c>
      <c r="L33">
        <v>2</v>
      </c>
      <c r="M33" t="s">
        <v>17</v>
      </c>
      <c r="N33" t="str">
        <f t="shared" si="1"/>
        <v>31-40</v>
      </c>
      <c r="O33">
        <f t="shared" si="2"/>
        <v>2023</v>
      </c>
    </row>
    <row r="34" spans="1:15" x14ac:dyDescent="0.25">
      <c r="A34">
        <v>33</v>
      </c>
      <c r="B34" t="s">
        <v>57</v>
      </c>
      <c r="C34" t="s">
        <v>23</v>
      </c>
      <c r="D34" t="str">
        <f t="shared" si="0"/>
        <v>Patricia Johnson</v>
      </c>
      <c r="E34" t="s">
        <v>14</v>
      </c>
      <c r="F34">
        <v>36</v>
      </c>
      <c r="G34" t="s">
        <v>20</v>
      </c>
      <c r="H34" t="s">
        <v>25</v>
      </c>
      <c r="I34" s="1">
        <v>42537</v>
      </c>
      <c r="J34" s="2">
        <v>51759</v>
      </c>
      <c r="K34">
        <v>5</v>
      </c>
      <c r="L34">
        <v>9</v>
      </c>
      <c r="M34" t="s">
        <v>17</v>
      </c>
      <c r="N34" t="str">
        <f t="shared" si="1"/>
        <v>31-40</v>
      </c>
      <c r="O34">
        <f t="shared" si="2"/>
        <v>2016</v>
      </c>
    </row>
    <row r="35" spans="1:15" x14ac:dyDescent="0.25">
      <c r="A35">
        <v>34</v>
      </c>
      <c r="B35" t="s">
        <v>38</v>
      </c>
      <c r="C35" t="s">
        <v>33</v>
      </c>
      <c r="D35" t="str">
        <f t="shared" si="0"/>
        <v>Mary Hall</v>
      </c>
      <c r="E35" t="s">
        <v>14</v>
      </c>
      <c r="F35">
        <v>33</v>
      </c>
      <c r="G35" t="s">
        <v>41</v>
      </c>
      <c r="H35" t="s">
        <v>25</v>
      </c>
      <c r="I35" s="1">
        <v>40788</v>
      </c>
      <c r="J35" s="2">
        <v>67200</v>
      </c>
      <c r="K35">
        <v>1</v>
      </c>
      <c r="L35">
        <v>14</v>
      </c>
      <c r="M35" t="s">
        <v>26</v>
      </c>
      <c r="N35" t="str">
        <f t="shared" si="1"/>
        <v>31-40</v>
      </c>
      <c r="O35">
        <f t="shared" si="2"/>
        <v>2011</v>
      </c>
    </row>
    <row r="36" spans="1:15" x14ac:dyDescent="0.25">
      <c r="A36">
        <v>35</v>
      </c>
      <c r="B36" t="s">
        <v>62</v>
      </c>
      <c r="C36" t="s">
        <v>37</v>
      </c>
      <c r="D36" t="str">
        <f t="shared" si="0"/>
        <v>Jessica Taylor</v>
      </c>
      <c r="E36" t="s">
        <v>14</v>
      </c>
      <c r="F36">
        <v>33</v>
      </c>
      <c r="G36" t="s">
        <v>15</v>
      </c>
      <c r="H36" t="s">
        <v>25</v>
      </c>
      <c r="I36" s="1">
        <v>42796</v>
      </c>
      <c r="J36" s="2">
        <v>37301</v>
      </c>
      <c r="K36">
        <v>3</v>
      </c>
      <c r="L36">
        <v>8</v>
      </c>
      <c r="M36" t="s">
        <v>26</v>
      </c>
      <c r="N36" t="str">
        <f t="shared" si="1"/>
        <v>31-40</v>
      </c>
      <c r="O36">
        <f t="shared" si="2"/>
        <v>2017</v>
      </c>
    </row>
    <row r="37" spans="1:15" x14ac:dyDescent="0.25">
      <c r="A37">
        <v>36</v>
      </c>
      <c r="B37" t="s">
        <v>40</v>
      </c>
      <c r="C37" t="s">
        <v>54</v>
      </c>
      <c r="D37" t="str">
        <f t="shared" si="0"/>
        <v>John Smith</v>
      </c>
      <c r="E37" t="s">
        <v>28</v>
      </c>
      <c r="F37">
        <v>53</v>
      </c>
      <c r="G37" t="s">
        <v>15</v>
      </c>
      <c r="H37" t="s">
        <v>21</v>
      </c>
      <c r="I37" s="1">
        <v>40434</v>
      </c>
      <c r="J37" s="2">
        <v>27118</v>
      </c>
      <c r="K37">
        <v>1</v>
      </c>
      <c r="L37">
        <v>15</v>
      </c>
      <c r="M37" t="s">
        <v>17</v>
      </c>
      <c r="N37" t="str">
        <f t="shared" si="1"/>
        <v>51-60</v>
      </c>
      <c r="O37">
        <f t="shared" si="2"/>
        <v>2010</v>
      </c>
    </row>
    <row r="38" spans="1:15" x14ac:dyDescent="0.25">
      <c r="A38">
        <v>37</v>
      </c>
      <c r="B38" t="s">
        <v>51</v>
      </c>
      <c r="C38" t="s">
        <v>13</v>
      </c>
      <c r="D38" t="str">
        <f t="shared" si="0"/>
        <v>Paul Martin</v>
      </c>
      <c r="E38" t="s">
        <v>28</v>
      </c>
      <c r="F38">
        <v>30</v>
      </c>
      <c r="G38" t="s">
        <v>20</v>
      </c>
      <c r="H38" t="s">
        <v>31</v>
      </c>
      <c r="I38" s="1">
        <v>45210</v>
      </c>
      <c r="J38" s="2">
        <v>84025</v>
      </c>
      <c r="K38">
        <v>5</v>
      </c>
      <c r="L38">
        <v>2</v>
      </c>
      <c r="M38" t="s">
        <v>17</v>
      </c>
      <c r="N38" t="str">
        <f t="shared" si="1"/>
        <v>20-30</v>
      </c>
      <c r="O38">
        <f t="shared" si="2"/>
        <v>2023</v>
      </c>
    </row>
    <row r="39" spans="1:15" x14ac:dyDescent="0.25">
      <c r="A39">
        <v>38</v>
      </c>
      <c r="B39" t="s">
        <v>57</v>
      </c>
      <c r="C39" t="s">
        <v>64</v>
      </c>
      <c r="D39" t="str">
        <f t="shared" si="0"/>
        <v>Patricia Anderson</v>
      </c>
      <c r="E39" t="s">
        <v>14</v>
      </c>
      <c r="F39">
        <v>24</v>
      </c>
      <c r="G39" t="s">
        <v>39</v>
      </c>
      <c r="H39" t="s">
        <v>25</v>
      </c>
      <c r="I39" s="1">
        <v>43602</v>
      </c>
      <c r="J39" s="2">
        <v>38513</v>
      </c>
      <c r="K39">
        <v>1</v>
      </c>
      <c r="L39">
        <v>6</v>
      </c>
      <c r="M39" t="s">
        <v>17</v>
      </c>
      <c r="N39" t="str">
        <f t="shared" si="1"/>
        <v>20-30</v>
      </c>
      <c r="O39">
        <f t="shared" si="2"/>
        <v>2019</v>
      </c>
    </row>
    <row r="40" spans="1:15" x14ac:dyDescent="0.25">
      <c r="A40">
        <v>39</v>
      </c>
      <c r="B40" t="s">
        <v>65</v>
      </c>
      <c r="C40" t="s">
        <v>30</v>
      </c>
      <c r="D40" t="str">
        <f t="shared" si="0"/>
        <v>Charles Lee</v>
      </c>
      <c r="E40" t="s">
        <v>28</v>
      </c>
      <c r="F40">
        <v>56</v>
      </c>
      <c r="G40" t="s">
        <v>15</v>
      </c>
      <c r="H40" t="s">
        <v>21</v>
      </c>
      <c r="I40" s="1">
        <v>42652</v>
      </c>
      <c r="J40" s="2">
        <v>57355</v>
      </c>
      <c r="K40">
        <v>1</v>
      </c>
      <c r="L40">
        <v>9</v>
      </c>
      <c r="M40" t="s">
        <v>26</v>
      </c>
      <c r="N40" t="str">
        <f t="shared" si="1"/>
        <v>51-60</v>
      </c>
      <c r="O40">
        <f t="shared" si="2"/>
        <v>2016</v>
      </c>
    </row>
    <row r="41" spans="1:15" x14ac:dyDescent="0.25">
      <c r="A41">
        <v>40</v>
      </c>
      <c r="B41" t="s">
        <v>62</v>
      </c>
      <c r="C41" t="s">
        <v>48</v>
      </c>
      <c r="D41" t="str">
        <f t="shared" si="0"/>
        <v>Jessica Thompson</v>
      </c>
      <c r="E41" t="s">
        <v>14</v>
      </c>
      <c r="F41">
        <v>32</v>
      </c>
      <c r="G41" t="s">
        <v>15</v>
      </c>
      <c r="H41" t="s">
        <v>21</v>
      </c>
      <c r="I41" s="1">
        <v>44260</v>
      </c>
      <c r="J41" s="2">
        <v>86294</v>
      </c>
      <c r="K41">
        <v>1</v>
      </c>
      <c r="L41">
        <v>4</v>
      </c>
      <c r="M41" t="s">
        <v>26</v>
      </c>
      <c r="N41" t="str">
        <f t="shared" si="1"/>
        <v>31-40</v>
      </c>
      <c r="O41">
        <f t="shared" si="2"/>
        <v>2021</v>
      </c>
    </row>
    <row r="42" spans="1:15" x14ac:dyDescent="0.25">
      <c r="A42">
        <v>41</v>
      </c>
      <c r="B42" t="s">
        <v>63</v>
      </c>
      <c r="C42" t="s">
        <v>33</v>
      </c>
      <c r="D42" t="str">
        <f t="shared" si="0"/>
        <v>Steven Hall</v>
      </c>
      <c r="E42" t="s">
        <v>28</v>
      </c>
      <c r="F42">
        <v>27</v>
      </c>
      <c r="G42" t="s">
        <v>24</v>
      </c>
      <c r="H42" t="s">
        <v>31</v>
      </c>
      <c r="I42" s="1">
        <v>41226</v>
      </c>
      <c r="J42" s="2">
        <v>61034</v>
      </c>
      <c r="K42">
        <v>4</v>
      </c>
      <c r="L42">
        <v>13</v>
      </c>
      <c r="M42" t="s">
        <v>26</v>
      </c>
      <c r="N42" t="str">
        <f t="shared" si="1"/>
        <v>20-30</v>
      </c>
      <c r="O42">
        <f t="shared" si="2"/>
        <v>2012</v>
      </c>
    </row>
    <row r="43" spans="1:15" x14ac:dyDescent="0.25">
      <c r="A43">
        <v>42</v>
      </c>
      <c r="B43" t="s">
        <v>40</v>
      </c>
      <c r="C43" t="s">
        <v>66</v>
      </c>
      <c r="D43" t="str">
        <f t="shared" si="0"/>
        <v>John Robinson</v>
      </c>
      <c r="E43" t="s">
        <v>28</v>
      </c>
      <c r="F43">
        <v>53</v>
      </c>
      <c r="G43" t="s">
        <v>15</v>
      </c>
      <c r="H43" t="s">
        <v>25</v>
      </c>
      <c r="I43" s="1">
        <v>44520</v>
      </c>
      <c r="J43" s="2">
        <v>30184</v>
      </c>
      <c r="K43">
        <v>5</v>
      </c>
      <c r="L43">
        <v>4</v>
      </c>
      <c r="M43" t="s">
        <v>17</v>
      </c>
      <c r="N43" t="str">
        <f t="shared" si="1"/>
        <v>51-60</v>
      </c>
      <c r="O43">
        <f t="shared" si="2"/>
        <v>2021</v>
      </c>
    </row>
    <row r="44" spans="1:15" x14ac:dyDescent="0.25">
      <c r="A44">
        <v>43</v>
      </c>
      <c r="B44" t="s">
        <v>44</v>
      </c>
      <c r="C44" t="s">
        <v>67</v>
      </c>
      <c r="D44" t="str">
        <f t="shared" si="0"/>
        <v>Sophia Brown</v>
      </c>
      <c r="E44" t="s">
        <v>14</v>
      </c>
      <c r="F44">
        <v>33</v>
      </c>
      <c r="G44" t="s">
        <v>20</v>
      </c>
      <c r="H44" t="s">
        <v>31</v>
      </c>
      <c r="I44" s="1">
        <v>45148</v>
      </c>
      <c r="J44" s="2">
        <v>27645</v>
      </c>
      <c r="K44">
        <v>3</v>
      </c>
      <c r="L44">
        <v>2</v>
      </c>
      <c r="M44" t="s">
        <v>26</v>
      </c>
      <c r="N44" t="str">
        <f t="shared" si="1"/>
        <v>31-40</v>
      </c>
      <c r="O44">
        <f t="shared" si="2"/>
        <v>2023</v>
      </c>
    </row>
    <row r="45" spans="1:15" x14ac:dyDescent="0.25">
      <c r="A45">
        <v>44</v>
      </c>
      <c r="B45" t="s">
        <v>63</v>
      </c>
      <c r="C45" t="s">
        <v>52</v>
      </c>
      <c r="D45" t="str">
        <f t="shared" si="0"/>
        <v>Steven Allen</v>
      </c>
      <c r="E45" t="s">
        <v>28</v>
      </c>
      <c r="F45">
        <v>45</v>
      </c>
      <c r="G45" t="s">
        <v>20</v>
      </c>
      <c r="H45" t="s">
        <v>21</v>
      </c>
      <c r="I45" s="1">
        <v>43841</v>
      </c>
      <c r="J45" s="2">
        <v>83101</v>
      </c>
      <c r="K45">
        <v>1</v>
      </c>
      <c r="L45">
        <v>6</v>
      </c>
      <c r="M45" t="s">
        <v>17</v>
      </c>
      <c r="N45" t="str">
        <f t="shared" si="1"/>
        <v>41-50</v>
      </c>
      <c r="O45">
        <f t="shared" si="2"/>
        <v>2020</v>
      </c>
    </row>
    <row r="46" spans="1:15" x14ac:dyDescent="0.25">
      <c r="A46">
        <v>45</v>
      </c>
      <c r="B46" t="s">
        <v>68</v>
      </c>
      <c r="C46" t="s">
        <v>33</v>
      </c>
      <c r="D46" t="str">
        <f t="shared" si="0"/>
        <v>Mark Hall</v>
      </c>
      <c r="E46" t="s">
        <v>28</v>
      </c>
      <c r="F46">
        <v>32</v>
      </c>
      <c r="G46" t="s">
        <v>55</v>
      </c>
      <c r="H46" t="s">
        <v>16</v>
      </c>
      <c r="I46" s="1">
        <v>44972</v>
      </c>
      <c r="J46" s="2">
        <v>53826</v>
      </c>
      <c r="K46">
        <v>5</v>
      </c>
      <c r="L46">
        <v>2</v>
      </c>
      <c r="M46" t="s">
        <v>17</v>
      </c>
      <c r="N46" t="str">
        <f t="shared" si="1"/>
        <v>31-40</v>
      </c>
      <c r="O46">
        <f t="shared" si="2"/>
        <v>2023</v>
      </c>
    </row>
    <row r="47" spans="1:15" x14ac:dyDescent="0.25">
      <c r="A47">
        <v>46</v>
      </c>
      <c r="B47" t="s">
        <v>69</v>
      </c>
      <c r="C47" t="s">
        <v>56</v>
      </c>
      <c r="D47" t="str">
        <f t="shared" si="0"/>
        <v>Anna Garcia</v>
      </c>
      <c r="E47" t="s">
        <v>14</v>
      </c>
      <c r="F47">
        <v>29</v>
      </c>
      <c r="G47" t="s">
        <v>55</v>
      </c>
      <c r="H47" t="s">
        <v>31</v>
      </c>
      <c r="I47" s="1">
        <v>41606</v>
      </c>
      <c r="J47" s="2">
        <v>28622</v>
      </c>
      <c r="K47">
        <v>1</v>
      </c>
      <c r="L47">
        <v>12</v>
      </c>
      <c r="M47" t="s">
        <v>26</v>
      </c>
      <c r="N47" t="str">
        <f t="shared" si="1"/>
        <v>20-30</v>
      </c>
      <c r="O47">
        <f t="shared" si="2"/>
        <v>2013</v>
      </c>
    </row>
    <row r="48" spans="1:15" x14ac:dyDescent="0.25">
      <c r="A48">
        <v>47</v>
      </c>
      <c r="B48" t="s">
        <v>35</v>
      </c>
      <c r="C48" t="s">
        <v>64</v>
      </c>
      <c r="D48" t="str">
        <f t="shared" si="0"/>
        <v>Thomas Anderson</v>
      </c>
      <c r="E48" t="s">
        <v>28</v>
      </c>
      <c r="F48">
        <v>25</v>
      </c>
      <c r="G48" t="s">
        <v>41</v>
      </c>
      <c r="H48" t="s">
        <v>31</v>
      </c>
      <c r="I48" s="1">
        <v>40273</v>
      </c>
      <c r="J48" s="2">
        <v>25209</v>
      </c>
      <c r="K48">
        <v>4</v>
      </c>
      <c r="L48">
        <v>15</v>
      </c>
      <c r="M48" t="s">
        <v>26</v>
      </c>
      <c r="N48" t="str">
        <f t="shared" si="1"/>
        <v>20-30</v>
      </c>
      <c r="O48">
        <f t="shared" si="2"/>
        <v>2010</v>
      </c>
    </row>
    <row r="49" spans="1:15" x14ac:dyDescent="0.25">
      <c r="A49">
        <v>48</v>
      </c>
      <c r="B49" t="s">
        <v>50</v>
      </c>
      <c r="C49" t="s">
        <v>56</v>
      </c>
      <c r="D49" t="str">
        <f t="shared" si="0"/>
        <v>Anthony Garcia</v>
      </c>
      <c r="E49" t="s">
        <v>28</v>
      </c>
      <c r="F49">
        <v>51</v>
      </c>
      <c r="G49" t="s">
        <v>41</v>
      </c>
      <c r="H49" t="s">
        <v>31</v>
      </c>
      <c r="I49" s="1">
        <v>41587</v>
      </c>
      <c r="J49" s="2">
        <v>31665</v>
      </c>
      <c r="K49">
        <v>1</v>
      </c>
      <c r="L49">
        <v>12</v>
      </c>
      <c r="M49" t="s">
        <v>17</v>
      </c>
      <c r="N49" t="str">
        <f t="shared" si="1"/>
        <v>51-60</v>
      </c>
      <c r="O49">
        <f t="shared" si="2"/>
        <v>2013</v>
      </c>
    </row>
    <row r="50" spans="1:15" x14ac:dyDescent="0.25">
      <c r="A50">
        <v>49</v>
      </c>
      <c r="B50" t="s">
        <v>63</v>
      </c>
      <c r="C50" t="s">
        <v>70</v>
      </c>
      <c r="D50" t="str">
        <f t="shared" si="0"/>
        <v>Steven Harris</v>
      </c>
      <c r="E50" t="s">
        <v>28</v>
      </c>
      <c r="F50">
        <v>39</v>
      </c>
      <c r="G50" t="s">
        <v>15</v>
      </c>
      <c r="H50" t="s">
        <v>21</v>
      </c>
      <c r="I50" s="1">
        <v>41549</v>
      </c>
      <c r="J50" s="2">
        <v>77249</v>
      </c>
      <c r="K50">
        <v>1</v>
      </c>
      <c r="L50">
        <v>12</v>
      </c>
      <c r="M50" t="s">
        <v>26</v>
      </c>
      <c r="N50" t="str">
        <f t="shared" si="1"/>
        <v>31-40</v>
      </c>
      <c r="O50">
        <f t="shared" si="2"/>
        <v>2013</v>
      </c>
    </row>
    <row r="51" spans="1:15" x14ac:dyDescent="0.25">
      <c r="A51">
        <v>50</v>
      </c>
      <c r="B51" t="s">
        <v>35</v>
      </c>
      <c r="C51" t="s">
        <v>45</v>
      </c>
      <c r="D51" t="str">
        <f t="shared" si="0"/>
        <v>Thomas White</v>
      </c>
      <c r="E51" t="s">
        <v>28</v>
      </c>
      <c r="F51">
        <v>30</v>
      </c>
      <c r="G51" t="s">
        <v>39</v>
      </c>
      <c r="H51" t="s">
        <v>31</v>
      </c>
      <c r="I51" s="1">
        <v>40390</v>
      </c>
      <c r="J51" s="2">
        <v>53669</v>
      </c>
      <c r="K51">
        <v>1</v>
      </c>
      <c r="L51">
        <v>15</v>
      </c>
      <c r="M51" t="s">
        <v>26</v>
      </c>
      <c r="N51" t="str">
        <f t="shared" si="1"/>
        <v>20-30</v>
      </c>
      <c r="O51">
        <f t="shared" si="2"/>
        <v>2010</v>
      </c>
    </row>
    <row r="52" spans="1:15" x14ac:dyDescent="0.25">
      <c r="A52">
        <v>51</v>
      </c>
      <c r="B52" t="s">
        <v>60</v>
      </c>
      <c r="C52" t="s">
        <v>48</v>
      </c>
      <c r="D52" t="str">
        <f t="shared" si="0"/>
        <v>Elizabeth Thompson</v>
      </c>
      <c r="E52" t="s">
        <v>14</v>
      </c>
      <c r="F52">
        <v>36</v>
      </c>
      <c r="G52" t="s">
        <v>15</v>
      </c>
      <c r="H52" t="s">
        <v>34</v>
      </c>
      <c r="I52" s="1">
        <v>40507</v>
      </c>
      <c r="J52" s="2">
        <v>69299</v>
      </c>
      <c r="K52">
        <v>3</v>
      </c>
      <c r="L52">
        <v>15</v>
      </c>
      <c r="M52" t="s">
        <v>26</v>
      </c>
      <c r="N52" t="str">
        <f t="shared" si="1"/>
        <v>31-40</v>
      </c>
      <c r="O52">
        <f t="shared" si="2"/>
        <v>2010</v>
      </c>
    </row>
    <row r="53" spans="1:15" x14ac:dyDescent="0.25">
      <c r="A53">
        <v>52</v>
      </c>
      <c r="B53" t="s">
        <v>57</v>
      </c>
      <c r="C53" t="s">
        <v>52</v>
      </c>
      <c r="D53" t="str">
        <f t="shared" si="0"/>
        <v>Patricia Allen</v>
      </c>
      <c r="E53" t="s">
        <v>14</v>
      </c>
      <c r="F53">
        <v>51</v>
      </c>
      <c r="G53" t="s">
        <v>55</v>
      </c>
      <c r="H53" t="s">
        <v>34</v>
      </c>
      <c r="I53" s="1">
        <v>45139</v>
      </c>
      <c r="J53" s="2">
        <v>59193</v>
      </c>
      <c r="K53">
        <v>1</v>
      </c>
      <c r="L53">
        <v>2</v>
      </c>
      <c r="M53" t="s">
        <v>17</v>
      </c>
      <c r="N53" t="str">
        <f t="shared" si="1"/>
        <v>51-60</v>
      </c>
      <c r="O53">
        <f t="shared" si="2"/>
        <v>2023</v>
      </c>
    </row>
    <row r="54" spans="1:15" x14ac:dyDescent="0.25">
      <c r="A54">
        <v>53</v>
      </c>
      <c r="B54" t="s">
        <v>47</v>
      </c>
      <c r="C54" t="s">
        <v>67</v>
      </c>
      <c r="D54" t="str">
        <f t="shared" si="0"/>
        <v>David Brown</v>
      </c>
      <c r="E54" t="s">
        <v>28</v>
      </c>
      <c r="F54">
        <v>54</v>
      </c>
      <c r="G54" t="s">
        <v>41</v>
      </c>
      <c r="H54" t="s">
        <v>25</v>
      </c>
      <c r="I54" s="1">
        <v>41850</v>
      </c>
      <c r="J54" s="2">
        <v>77058</v>
      </c>
      <c r="K54">
        <v>1</v>
      </c>
      <c r="L54">
        <v>11</v>
      </c>
      <c r="M54" t="s">
        <v>26</v>
      </c>
      <c r="N54" t="str">
        <f t="shared" si="1"/>
        <v>51-60</v>
      </c>
      <c r="O54">
        <f t="shared" si="2"/>
        <v>2014</v>
      </c>
    </row>
    <row r="55" spans="1:15" x14ac:dyDescent="0.25">
      <c r="A55">
        <v>54</v>
      </c>
      <c r="B55" t="s">
        <v>29</v>
      </c>
      <c r="C55" t="s">
        <v>58</v>
      </c>
      <c r="D55" t="str">
        <f t="shared" si="0"/>
        <v>Jennifer Clark</v>
      </c>
      <c r="E55" t="s">
        <v>14</v>
      </c>
      <c r="F55">
        <v>33</v>
      </c>
      <c r="G55" t="s">
        <v>20</v>
      </c>
      <c r="H55" t="s">
        <v>25</v>
      </c>
      <c r="I55" s="1">
        <v>43841</v>
      </c>
      <c r="J55" s="2">
        <v>79758</v>
      </c>
      <c r="K55">
        <v>3</v>
      </c>
      <c r="L55">
        <v>6</v>
      </c>
      <c r="M55" t="s">
        <v>26</v>
      </c>
      <c r="N55" t="str">
        <f t="shared" si="1"/>
        <v>31-40</v>
      </c>
      <c r="O55">
        <f t="shared" si="2"/>
        <v>2020</v>
      </c>
    </row>
    <row r="56" spans="1:15" x14ac:dyDescent="0.25">
      <c r="A56">
        <v>55</v>
      </c>
      <c r="B56" t="s">
        <v>40</v>
      </c>
      <c r="C56" t="s">
        <v>59</v>
      </c>
      <c r="D56" t="str">
        <f t="shared" si="0"/>
        <v>John Martinez</v>
      </c>
      <c r="E56" t="s">
        <v>28</v>
      </c>
      <c r="F56">
        <v>24</v>
      </c>
      <c r="G56" t="s">
        <v>20</v>
      </c>
      <c r="H56" t="s">
        <v>25</v>
      </c>
      <c r="I56" s="1">
        <v>42758</v>
      </c>
      <c r="J56" s="2">
        <v>84453</v>
      </c>
      <c r="K56">
        <v>1</v>
      </c>
      <c r="L56">
        <v>9</v>
      </c>
      <c r="M56" t="s">
        <v>17</v>
      </c>
      <c r="N56" t="str">
        <f t="shared" si="1"/>
        <v>20-30</v>
      </c>
      <c r="O56">
        <f t="shared" si="2"/>
        <v>2017</v>
      </c>
    </row>
    <row r="57" spans="1:15" x14ac:dyDescent="0.25">
      <c r="A57">
        <v>56</v>
      </c>
      <c r="B57" t="s">
        <v>50</v>
      </c>
      <c r="C57" t="s">
        <v>46</v>
      </c>
      <c r="D57" t="str">
        <f t="shared" si="0"/>
        <v>Anthony Walker</v>
      </c>
      <c r="E57" t="s">
        <v>28</v>
      </c>
      <c r="F57">
        <v>54</v>
      </c>
      <c r="G57" t="s">
        <v>20</v>
      </c>
      <c r="H57" t="s">
        <v>31</v>
      </c>
      <c r="I57" s="1">
        <v>43515</v>
      </c>
      <c r="J57" s="2">
        <v>29195</v>
      </c>
      <c r="K57">
        <v>3</v>
      </c>
      <c r="L57">
        <v>6</v>
      </c>
      <c r="M57" t="s">
        <v>26</v>
      </c>
      <c r="N57" t="str">
        <f t="shared" si="1"/>
        <v>51-60</v>
      </c>
      <c r="O57">
        <f t="shared" si="2"/>
        <v>2019</v>
      </c>
    </row>
    <row r="58" spans="1:15" x14ac:dyDescent="0.25">
      <c r="A58">
        <v>57</v>
      </c>
      <c r="B58" t="s">
        <v>42</v>
      </c>
      <c r="C58" t="s">
        <v>48</v>
      </c>
      <c r="D58" t="str">
        <f t="shared" si="0"/>
        <v>William Thompson</v>
      </c>
      <c r="E58" t="s">
        <v>28</v>
      </c>
      <c r="F58">
        <v>29</v>
      </c>
      <c r="G58" t="s">
        <v>15</v>
      </c>
      <c r="H58" t="s">
        <v>31</v>
      </c>
      <c r="I58" s="1">
        <v>44099</v>
      </c>
      <c r="J58" s="2">
        <v>52583</v>
      </c>
      <c r="K58">
        <v>4</v>
      </c>
      <c r="L58">
        <v>5</v>
      </c>
      <c r="M58" t="s">
        <v>17</v>
      </c>
      <c r="N58" t="str">
        <f t="shared" si="1"/>
        <v>20-30</v>
      </c>
      <c r="O58">
        <f t="shared" si="2"/>
        <v>2020</v>
      </c>
    </row>
    <row r="59" spans="1:15" x14ac:dyDescent="0.25">
      <c r="A59">
        <v>58</v>
      </c>
      <c r="B59" t="s">
        <v>51</v>
      </c>
      <c r="C59" t="s">
        <v>45</v>
      </c>
      <c r="D59" t="str">
        <f t="shared" si="0"/>
        <v>Paul White</v>
      </c>
      <c r="E59" t="s">
        <v>28</v>
      </c>
      <c r="F59">
        <v>47</v>
      </c>
      <c r="G59" t="s">
        <v>41</v>
      </c>
      <c r="H59" t="s">
        <v>16</v>
      </c>
      <c r="I59" s="1">
        <v>40908</v>
      </c>
      <c r="J59" s="2">
        <v>43719</v>
      </c>
      <c r="K59">
        <v>3</v>
      </c>
      <c r="L59">
        <v>14</v>
      </c>
      <c r="M59" t="s">
        <v>17</v>
      </c>
      <c r="N59" t="str">
        <f t="shared" si="1"/>
        <v>41-50</v>
      </c>
      <c r="O59">
        <f t="shared" si="2"/>
        <v>2011</v>
      </c>
    </row>
    <row r="60" spans="1:15" x14ac:dyDescent="0.25">
      <c r="A60">
        <v>59</v>
      </c>
      <c r="B60" t="s">
        <v>22</v>
      </c>
      <c r="C60" t="s">
        <v>45</v>
      </c>
      <c r="D60" t="str">
        <f t="shared" si="0"/>
        <v>Olivia White</v>
      </c>
      <c r="E60" t="s">
        <v>14</v>
      </c>
      <c r="F60">
        <v>26</v>
      </c>
      <c r="G60" t="s">
        <v>15</v>
      </c>
      <c r="H60" t="s">
        <v>25</v>
      </c>
      <c r="I60" s="1">
        <v>42754</v>
      </c>
      <c r="J60" s="2">
        <v>68375</v>
      </c>
      <c r="K60">
        <v>1</v>
      </c>
      <c r="L60">
        <v>9</v>
      </c>
      <c r="M60" t="s">
        <v>17</v>
      </c>
      <c r="N60" t="str">
        <f t="shared" si="1"/>
        <v>20-30</v>
      </c>
      <c r="O60">
        <f t="shared" si="2"/>
        <v>2017</v>
      </c>
    </row>
    <row r="61" spans="1:15" x14ac:dyDescent="0.25">
      <c r="A61">
        <v>60</v>
      </c>
      <c r="B61" t="s">
        <v>49</v>
      </c>
      <c r="C61" t="s">
        <v>33</v>
      </c>
      <c r="D61" t="str">
        <f t="shared" si="0"/>
        <v>Barbara Hall</v>
      </c>
      <c r="E61" t="s">
        <v>14</v>
      </c>
      <c r="F61">
        <v>32</v>
      </c>
      <c r="G61" t="s">
        <v>39</v>
      </c>
      <c r="H61" t="s">
        <v>16</v>
      </c>
      <c r="I61" s="1">
        <v>42124</v>
      </c>
      <c r="J61" s="2">
        <v>92155</v>
      </c>
      <c r="K61">
        <v>5</v>
      </c>
      <c r="L61">
        <v>10</v>
      </c>
      <c r="M61" t="s">
        <v>17</v>
      </c>
      <c r="N61" t="str">
        <f t="shared" si="1"/>
        <v>31-40</v>
      </c>
      <c r="O61">
        <f t="shared" si="2"/>
        <v>2015</v>
      </c>
    </row>
    <row r="62" spans="1:15" x14ac:dyDescent="0.25">
      <c r="A62">
        <v>61</v>
      </c>
      <c r="B62" t="s">
        <v>35</v>
      </c>
      <c r="C62" t="s">
        <v>52</v>
      </c>
      <c r="D62" t="str">
        <f t="shared" si="0"/>
        <v>Thomas Allen</v>
      </c>
      <c r="E62" t="s">
        <v>28</v>
      </c>
      <c r="F62">
        <v>40</v>
      </c>
      <c r="G62" t="s">
        <v>24</v>
      </c>
      <c r="H62" t="s">
        <v>31</v>
      </c>
      <c r="I62" s="1">
        <v>44344</v>
      </c>
      <c r="J62" s="2">
        <v>57377</v>
      </c>
      <c r="K62">
        <v>1</v>
      </c>
      <c r="L62">
        <v>4</v>
      </c>
      <c r="M62" t="s">
        <v>26</v>
      </c>
      <c r="N62" t="str">
        <f t="shared" si="1"/>
        <v>31-40</v>
      </c>
      <c r="O62">
        <f t="shared" si="2"/>
        <v>2021</v>
      </c>
    </row>
    <row r="63" spans="1:15" x14ac:dyDescent="0.25">
      <c r="A63">
        <v>62</v>
      </c>
      <c r="B63" t="s">
        <v>53</v>
      </c>
      <c r="C63" t="s">
        <v>23</v>
      </c>
      <c r="D63" t="str">
        <f t="shared" si="0"/>
        <v>Linda Johnson</v>
      </c>
      <c r="E63" t="s">
        <v>14</v>
      </c>
      <c r="F63">
        <v>46</v>
      </c>
      <c r="G63" t="s">
        <v>55</v>
      </c>
      <c r="H63" t="s">
        <v>34</v>
      </c>
      <c r="I63" s="1">
        <v>43497</v>
      </c>
      <c r="J63" s="2">
        <v>86324</v>
      </c>
      <c r="K63">
        <v>5</v>
      </c>
      <c r="L63">
        <v>7</v>
      </c>
      <c r="M63" t="s">
        <v>17</v>
      </c>
      <c r="N63" t="str">
        <f t="shared" si="1"/>
        <v>41-50</v>
      </c>
      <c r="O63">
        <f t="shared" si="2"/>
        <v>2019</v>
      </c>
    </row>
    <row r="64" spans="1:15" x14ac:dyDescent="0.25">
      <c r="A64">
        <v>63</v>
      </c>
      <c r="B64" t="s">
        <v>27</v>
      </c>
      <c r="C64" t="s">
        <v>46</v>
      </c>
      <c r="D64" t="str">
        <f t="shared" si="0"/>
        <v>Robert Walker</v>
      </c>
      <c r="E64" t="s">
        <v>28</v>
      </c>
      <c r="F64">
        <v>57</v>
      </c>
      <c r="G64" t="s">
        <v>39</v>
      </c>
      <c r="H64" t="s">
        <v>31</v>
      </c>
      <c r="I64" s="1">
        <v>44745</v>
      </c>
      <c r="J64" s="2">
        <v>86153</v>
      </c>
      <c r="K64">
        <v>5</v>
      </c>
      <c r="L64">
        <v>3</v>
      </c>
      <c r="M64" t="s">
        <v>17</v>
      </c>
      <c r="N64" t="str">
        <f t="shared" si="1"/>
        <v>51-60</v>
      </c>
      <c r="O64">
        <f t="shared" si="2"/>
        <v>2022</v>
      </c>
    </row>
    <row r="65" spans="1:15" x14ac:dyDescent="0.25">
      <c r="A65">
        <v>64</v>
      </c>
      <c r="B65" t="s">
        <v>27</v>
      </c>
      <c r="C65" t="s">
        <v>48</v>
      </c>
      <c r="D65" t="str">
        <f t="shared" si="0"/>
        <v>Robert Thompson</v>
      </c>
      <c r="E65" t="s">
        <v>28</v>
      </c>
      <c r="F65">
        <v>33</v>
      </c>
      <c r="G65" t="s">
        <v>24</v>
      </c>
      <c r="H65" t="s">
        <v>31</v>
      </c>
      <c r="I65" s="1">
        <v>42013</v>
      </c>
      <c r="J65" s="2">
        <v>57634</v>
      </c>
      <c r="K65">
        <v>2</v>
      </c>
      <c r="L65">
        <v>11</v>
      </c>
      <c r="M65" t="s">
        <v>26</v>
      </c>
      <c r="N65" t="str">
        <f t="shared" si="1"/>
        <v>31-40</v>
      </c>
      <c r="O65">
        <f t="shared" si="2"/>
        <v>2015</v>
      </c>
    </row>
    <row r="66" spans="1:15" x14ac:dyDescent="0.25">
      <c r="A66">
        <v>65</v>
      </c>
      <c r="B66" t="s">
        <v>42</v>
      </c>
      <c r="C66" t="s">
        <v>37</v>
      </c>
      <c r="D66" t="str">
        <f t="shared" ref="D66:D129" si="3">CONCATENATE(B66," ",C66)</f>
        <v>William Taylor</v>
      </c>
      <c r="E66" t="s">
        <v>28</v>
      </c>
      <c r="F66">
        <v>24</v>
      </c>
      <c r="G66" t="s">
        <v>15</v>
      </c>
      <c r="H66" t="s">
        <v>16</v>
      </c>
      <c r="I66" s="1">
        <v>44318</v>
      </c>
      <c r="J66" s="2">
        <v>86227</v>
      </c>
      <c r="K66">
        <v>3</v>
      </c>
      <c r="L66">
        <v>4</v>
      </c>
      <c r="M66" t="s">
        <v>17</v>
      </c>
      <c r="N66" t="str">
        <f t="shared" ref="N66:N129" si="4">IF(AND(F66&gt;=20,F66&lt;=30),"20-30",IF(AND(F66&gt;=31,F66&lt;=40),"31-40",IF(AND(F66&gt;=41,F66&lt;=50),"41-50",IF(AND(F66&gt;=51,F66&lt;=60),"51-60"))))</f>
        <v>20-30</v>
      </c>
      <c r="O66">
        <f t="shared" ref="O66:O129" si="5">YEAR(I66)</f>
        <v>2021</v>
      </c>
    </row>
    <row r="67" spans="1:15" x14ac:dyDescent="0.25">
      <c r="A67">
        <v>66</v>
      </c>
      <c r="B67" t="s">
        <v>60</v>
      </c>
      <c r="C67" t="s">
        <v>13</v>
      </c>
      <c r="D67" t="str">
        <f t="shared" si="3"/>
        <v>Elizabeth Martin</v>
      </c>
      <c r="E67" t="s">
        <v>14</v>
      </c>
      <c r="F67">
        <v>23</v>
      </c>
      <c r="G67" t="s">
        <v>20</v>
      </c>
      <c r="H67" t="s">
        <v>21</v>
      </c>
      <c r="I67" s="1">
        <v>44143</v>
      </c>
      <c r="J67" s="2">
        <v>84561</v>
      </c>
      <c r="K67">
        <v>2</v>
      </c>
      <c r="L67">
        <v>5</v>
      </c>
      <c r="M67" t="s">
        <v>17</v>
      </c>
      <c r="N67" t="str">
        <f t="shared" si="4"/>
        <v>20-30</v>
      </c>
      <c r="O67">
        <f t="shared" si="5"/>
        <v>2020</v>
      </c>
    </row>
    <row r="68" spans="1:15" x14ac:dyDescent="0.25">
      <c r="A68">
        <v>67</v>
      </c>
      <c r="B68" t="s">
        <v>22</v>
      </c>
      <c r="C68" t="s">
        <v>52</v>
      </c>
      <c r="D68" t="str">
        <f t="shared" si="3"/>
        <v>Olivia Allen</v>
      </c>
      <c r="E68" t="s">
        <v>14</v>
      </c>
      <c r="F68">
        <v>50</v>
      </c>
      <c r="G68" t="s">
        <v>24</v>
      </c>
      <c r="H68" t="s">
        <v>34</v>
      </c>
      <c r="I68" s="1">
        <v>42000</v>
      </c>
      <c r="J68" s="2">
        <v>46305</v>
      </c>
      <c r="K68">
        <v>3</v>
      </c>
      <c r="L68">
        <v>11</v>
      </c>
      <c r="M68" t="s">
        <v>26</v>
      </c>
      <c r="N68" t="str">
        <f t="shared" si="4"/>
        <v>41-50</v>
      </c>
      <c r="O68">
        <f t="shared" si="5"/>
        <v>2014</v>
      </c>
    </row>
    <row r="69" spans="1:15" x14ac:dyDescent="0.25">
      <c r="A69">
        <v>68</v>
      </c>
      <c r="B69" t="s">
        <v>42</v>
      </c>
      <c r="C69" t="s">
        <v>33</v>
      </c>
      <c r="D69" t="str">
        <f t="shared" si="3"/>
        <v>William Hall</v>
      </c>
      <c r="E69" t="s">
        <v>28</v>
      </c>
      <c r="F69">
        <v>47</v>
      </c>
      <c r="G69" t="s">
        <v>24</v>
      </c>
      <c r="H69" t="s">
        <v>16</v>
      </c>
      <c r="I69" s="1">
        <v>44931</v>
      </c>
      <c r="J69" s="2">
        <v>37926</v>
      </c>
      <c r="K69">
        <v>2</v>
      </c>
      <c r="L69">
        <v>3</v>
      </c>
      <c r="M69" t="s">
        <v>17</v>
      </c>
      <c r="N69" t="str">
        <f t="shared" si="4"/>
        <v>41-50</v>
      </c>
      <c r="O69">
        <f t="shared" si="5"/>
        <v>2023</v>
      </c>
    </row>
    <row r="70" spans="1:15" x14ac:dyDescent="0.25">
      <c r="A70">
        <v>69</v>
      </c>
      <c r="B70" t="s">
        <v>71</v>
      </c>
      <c r="C70" t="s">
        <v>58</v>
      </c>
      <c r="D70" t="str">
        <f t="shared" si="3"/>
        <v>Joseph Clark</v>
      </c>
      <c r="E70" t="s">
        <v>28</v>
      </c>
      <c r="F70">
        <v>36</v>
      </c>
      <c r="G70" t="s">
        <v>24</v>
      </c>
      <c r="H70" t="s">
        <v>31</v>
      </c>
      <c r="I70" s="1">
        <v>42659</v>
      </c>
      <c r="J70" s="2">
        <v>38172</v>
      </c>
      <c r="K70">
        <v>4</v>
      </c>
      <c r="L70">
        <v>9</v>
      </c>
      <c r="M70" t="s">
        <v>17</v>
      </c>
      <c r="N70" t="str">
        <f t="shared" si="4"/>
        <v>31-40</v>
      </c>
      <c r="O70">
        <f t="shared" si="5"/>
        <v>2016</v>
      </c>
    </row>
    <row r="71" spans="1:15" x14ac:dyDescent="0.25">
      <c r="A71">
        <v>70</v>
      </c>
      <c r="B71" t="s">
        <v>60</v>
      </c>
      <c r="C71" t="s">
        <v>59</v>
      </c>
      <c r="D71" t="str">
        <f t="shared" si="3"/>
        <v>Elizabeth Martinez</v>
      </c>
      <c r="E71" t="s">
        <v>14</v>
      </c>
      <c r="F71">
        <v>23</v>
      </c>
      <c r="G71" t="s">
        <v>24</v>
      </c>
      <c r="H71" t="s">
        <v>31</v>
      </c>
      <c r="I71" s="1">
        <v>43571</v>
      </c>
      <c r="J71" s="2">
        <v>38691</v>
      </c>
      <c r="K71">
        <v>4</v>
      </c>
      <c r="L71">
        <v>6</v>
      </c>
      <c r="M71" t="s">
        <v>17</v>
      </c>
      <c r="N71" t="str">
        <f t="shared" si="4"/>
        <v>20-30</v>
      </c>
      <c r="O71">
        <f t="shared" si="5"/>
        <v>2019</v>
      </c>
    </row>
    <row r="72" spans="1:15" x14ac:dyDescent="0.25">
      <c r="A72">
        <v>71</v>
      </c>
      <c r="B72" t="s">
        <v>35</v>
      </c>
      <c r="C72" t="s">
        <v>13</v>
      </c>
      <c r="D72" t="str">
        <f t="shared" si="3"/>
        <v>Thomas Martin</v>
      </c>
      <c r="E72" t="s">
        <v>28</v>
      </c>
      <c r="F72">
        <v>54</v>
      </c>
      <c r="G72" t="s">
        <v>20</v>
      </c>
      <c r="H72" t="s">
        <v>25</v>
      </c>
      <c r="I72" s="1">
        <v>41154</v>
      </c>
      <c r="J72" s="2">
        <v>26901</v>
      </c>
      <c r="K72">
        <v>1</v>
      </c>
      <c r="L72">
        <v>13</v>
      </c>
      <c r="M72" t="s">
        <v>17</v>
      </c>
      <c r="N72" t="str">
        <f t="shared" si="4"/>
        <v>51-60</v>
      </c>
      <c r="O72">
        <f t="shared" si="5"/>
        <v>2012</v>
      </c>
    </row>
    <row r="73" spans="1:15" x14ac:dyDescent="0.25">
      <c r="A73">
        <v>72</v>
      </c>
      <c r="B73" t="s">
        <v>29</v>
      </c>
      <c r="C73" t="s">
        <v>64</v>
      </c>
      <c r="D73" t="str">
        <f t="shared" si="3"/>
        <v>Jennifer Anderson</v>
      </c>
      <c r="E73" t="s">
        <v>14</v>
      </c>
      <c r="F73">
        <v>49</v>
      </c>
      <c r="G73" t="s">
        <v>20</v>
      </c>
      <c r="H73" t="s">
        <v>34</v>
      </c>
      <c r="I73" s="1">
        <v>41837</v>
      </c>
      <c r="J73" s="2">
        <v>64634</v>
      </c>
      <c r="K73">
        <v>3</v>
      </c>
      <c r="L73">
        <v>11</v>
      </c>
      <c r="M73" t="s">
        <v>17</v>
      </c>
      <c r="N73" t="str">
        <f t="shared" si="4"/>
        <v>41-50</v>
      </c>
      <c r="O73">
        <f t="shared" si="5"/>
        <v>2014</v>
      </c>
    </row>
    <row r="74" spans="1:15" x14ac:dyDescent="0.25">
      <c r="A74">
        <v>73</v>
      </c>
      <c r="B74" t="s">
        <v>72</v>
      </c>
      <c r="C74" t="s">
        <v>19</v>
      </c>
      <c r="D74" t="str">
        <f t="shared" si="3"/>
        <v>Emma Lewis</v>
      </c>
      <c r="E74" t="s">
        <v>14</v>
      </c>
      <c r="F74">
        <v>37</v>
      </c>
      <c r="G74" t="s">
        <v>39</v>
      </c>
      <c r="H74" t="s">
        <v>34</v>
      </c>
      <c r="I74" s="1">
        <v>40605</v>
      </c>
      <c r="J74" s="2">
        <v>39677</v>
      </c>
      <c r="K74">
        <v>5</v>
      </c>
      <c r="L74">
        <v>14</v>
      </c>
      <c r="M74" t="s">
        <v>17</v>
      </c>
      <c r="N74" t="str">
        <f t="shared" si="4"/>
        <v>31-40</v>
      </c>
      <c r="O74">
        <f t="shared" si="5"/>
        <v>2011</v>
      </c>
    </row>
    <row r="75" spans="1:15" x14ac:dyDescent="0.25">
      <c r="A75">
        <v>74</v>
      </c>
      <c r="B75" t="s">
        <v>38</v>
      </c>
      <c r="C75" t="s">
        <v>67</v>
      </c>
      <c r="D75" t="str">
        <f t="shared" si="3"/>
        <v>Mary Brown</v>
      </c>
      <c r="E75" t="s">
        <v>14</v>
      </c>
      <c r="F75">
        <v>44</v>
      </c>
      <c r="G75" t="s">
        <v>41</v>
      </c>
      <c r="H75" t="s">
        <v>34</v>
      </c>
      <c r="I75" s="1">
        <v>42921</v>
      </c>
      <c r="J75" s="2">
        <v>65115</v>
      </c>
      <c r="K75">
        <v>4</v>
      </c>
      <c r="L75">
        <v>8</v>
      </c>
      <c r="M75" t="s">
        <v>26</v>
      </c>
      <c r="N75" t="str">
        <f t="shared" si="4"/>
        <v>41-50</v>
      </c>
      <c r="O75">
        <f t="shared" si="5"/>
        <v>2017</v>
      </c>
    </row>
    <row r="76" spans="1:15" x14ac:dyDescent="0.25">
      <c r="A76">
        <v>75</v>
      </c>
      <c r="B76" t="s">
        <v>29</v>
      </c>
      <c r="C76" t="s">
        <v>56</v>
      </c>
      <c r="D76" t="str">
        <f t="shared" si="3"/>
        <v>Jennifer Garcia</v>
      </c>
      <c r="E76" t="s">
        <v>14</v>
      </c>
      <c r="F76">
        <v>37</v>
      </c>
      <c r="G76" t="s">
        <v>20</v>
      </c>
      <c r="H76" t="s">
        <v>31</v>
      </c>
      <c r="I76" s="1">
        <v>43271</v>
      </c>
      <c r="J76" s="2">
        <v>72465</v>
      </c>
      <c r="K76">
        <v>1</v>
      </c>
      <c r="L76">
        <v>7</v>
      </c>
      <c r="M76" t="s">
        <v>26</v>
      </c>
      <c r="N76" t="str">
        <f t="shared" si="4"/>
        <v>31-40</v>
      </c>
      <c r="O76">
        <f t="shared" si="5"/>
        <v>2018</v>
      </c>
    </row>
    <row r="77" spans="1:15" x14ac:dyDescent="0.25">
      <c r="A77">
        <v>76</v>
      </c>
      <c r="B77" t="s">
        <v>38</v>
      </c>
      <c r="C77" t="s">
        <v>46</v>
      </c>
      <c r="D77" t="str">
        <f t="shared" si="3"/>
        <v>Mary Walker</v>
      </c>
      <c r="E77" t="s">
        <v>14</v>
      </c>
      <c r="F77">
        <v>31</v>
      </c>
      <c r="G77" t="s">
        <v>20</v>
      </c>
      <c r="H77" t="s">
        <v>21</v>
      </c>
      <c r="I77" s="1">
        <v>44443</v>
      </c>
      <c r="J77" s="2">
        <v>44903</v>
      </c>
      <c r="K77">
        <v>1</v>
      </c>
      <c r="L77">
        <v>4</v>
      </c>
      <c r="M77" t="s">
        <v>17</v>
      </c>
      <c r="N77" t="str">
        <f t="shared" si="4"/>
        <v>31-40</v>
      </c>
      <c r="O77">
        <f t="shared" si="5"/>
        <v>2021</v>
      </c>
    </row>
    <row r="78" spans="1:15" x14ac:dyDescent="0.25">
      <c r="A78">
        <v>77</v>
      </c>
      <c r="B78" t="s">
        <v>68</v>
      </c>
      <c r="C78" t="s">
        <v>56</v>
      </c>
      <c r="D78" t="str">
        <f t="shared" si="3"/>
        <v>Mark Garcia</v>
      </c>
      <c r="E78" t="s">
        <v>28</v>
      </c>
      <c r="F78">
        <v>60</v>
      </c>
      <c r="G78" t="s">
        <v>20</v>
      </c>
      <c r="H78" t="s">
        <v>25</v>
      </c>
      <c r="I78" s="1">
        <v>42210</v>
      </c>
      <c r="J78" s="2">
        <v>68954</v>
      </c>
      <c r="K78">
        <v>3</v>
      </c>
      <c r="L78">
        <v>10</v>
      </c>
      <c r="M78" t="s">
        <v>17</v>
      </c>
      <c r="N78" t="str">
        <f t="shared" si="4"/>
        <v>51-60</v>
      </c>
      <c r="O78">
        <f t="shared" si="5"/>
        <v>2015</v>
      </c>
    </row>
    <row r="79" spans="1:15" x14ac:dyDescent="0.25">
      <c r="A79">
        <v>78</v>
      </c>
      <c r="B79" t="s">
        <v>63</v>
      </c>
      <c r="C79" t="s">
        <v>67</v>
      </c>
      <c r="D79" t="str">
        <f t="shared" si="3"/>
        <v>Steven Brown</v>
      </c>
      <c r="E79" t="s">
        <v>28</v>
      </c>
      <c r="F79">
        <v>38</v>
      </c>
      <c r="G79" t="s">
        <v>55</v>
      </c>
      <c r="H79" t="s">
        <v>31</v>
      </c>
      <c r="I79" s="1">
        <v>41693</v>
      </c>
      <c r="J79" s="2">
        <v>41810</v>
      </c>
      <c r="K79">
        <v>2</v>
      </c>
      <c r="L79">
        <v>11</v>
      </c>
      <c r="M79" t="s">
        <v>17</v>
      </c>
      <c r="N79" t="str">
        <f t="shared" si="4"/>
        <v>31-40</v>
      </c>
      <c r="O79">
        <f t="shared" si="5"/>
        <v>2014</v>
      </c>
    </row>
    <row r="80" spans="1:15" x14ac:dyDescent="0.25">
      <c r="A80">
        <v>79</v>
      </c>
      <c r="B80" t="s">
        <v>69</v>
      </c>
      <c r="C80" t="s">
        <v>52</v>
      </c>
      <c r="D80" t="str">
        <f t="shared" si="3"/>
        <v>Anna Allen</v>
      </c>
      <c r="E80" t="s">
        <v>14</v>
      </c>
      <c r="F80">
        <v>22</v>
      </c>
      <c r="G80" t="s">
        <v>24</v>
      </c>
      <c r="H80" t="s">
        <v>21</v>
      </c>
      <c r="I80" s="1">
        <v>43069</v>
      </c>
      <c r="J80" s="2">
        <v>34490</v>
      </c>
      <c r="K80">
        <v>1</v>
      </c>
      <c r="L80">
        <v>8</v>
      </c>
      <c r="M80" t="s">
        <v>17</v>
      </c>
      <c r="N80" t="str">
        <f t="shared" si="4"/>
        <v>20-30</v>
      </c>
      <c r="O80">
        <f t="shared" si="5"/>
        <v>2017</v>
      </c>
    </row>
    <row r="81" spans="1:15" x14ac:dyDescent="0.25">
      <c r="A81">
        <v>80</v>
      </c>
      <c r="B81" t="s">
        <v>60</v>
      </c>
      <c r="C81" t="s">
        <v>23</v>
      </c>
      <c r="D81" t="str">
        <f t="shared" si="3"/>
        <v>Elizabeth Johnson</v>
      </c>
      <c r="E81" t="s">
        <v>14</v>
      </c>
      <c r="F81">
        <v>29</v>
      </c>
      <c r="G81" t="s">
        <v>15</v>
      </c>
      <c r="H81" t="s">
        <v>31</v>
      </c>
      <c r="I81" s="1">
        <v>44748</v>
      </c>
      <c r="J81" s="2">
        <v>66680</v>
      </c>
      <c r="K81">
        <v>1</v>
      </c>
      <c r="L81">
        <v>3</v>
      </c>
      <c r="M81" t="s">
        <v>26</v>
      </c>
      <c r="N81" t="str">
        <f t="shared" si="4"/>
        <v>20-30</v>
      </c>
      <c r="O81">
        <f t="shared" si="5"/>
        <v>2022</v>
      </c>
    </row>
    <row r="82" spans="1:15" x14ac:dyDescent="0.25">
      <c r="A82">
        <v>81</v>
      </c>
      <c r="B82" t="s">
        <v>50</v>
      </c>
      <c r="C82" t="s">
        <v>54</v>
      </c>
      <c r="D82" t="str">
        <f t="shared" si="3"/>
        <v>Anthony Smith</v>
      </c>
      <c r="E82" t="s">
        <v>28</v>
      </c>
      <c r="F82">
        <v>33</v>
      </c>
      <c r="G82" t="s">
        <v>41</v>
      </c>
      <c r="H82" t="s">
        <v>25</v>
      </c>
      <c r="I82" s="1">
        <v>43829</v>
      </c>
      <c r="J82" s="2">
        <v>67154</v>
      </c>
      <c r="K82">
        <v>2</v>
      </c>
      <c r="L82">
        <v>6</v>
      </c>
      <c r="M82" t="s">
        <v>26</v>
      </c>
      <c r="N82" t="str">
        <f t="shared" si="4"/>
        <v>31-40</v>
      </c>
      <c r="O82">
        <f t="shared" si="5"/>
        <v>2019</v>
      </c>
    </row>
    <row r="83" spans="1:15" x14ac:dyDescent="0.25">
      <c r="A83">
        <v>82</v>
      </c>
      <c r="B83" t="s">
        <v>12</v>
      </c>
      <c r="C83" t="s">
        <v>67</v>
      </c>
      <c r="D83" t="str">
        <f t="shared" si="3"/>
        <v>Susan Brown</v>
      </c>
      <c r="E83" t="s">
        <v>14</v>
      </c>
      <c r="F83">
        <v>30</v>
      </c>
      <c r="G83" t="s">
        <v>20</v>
      </c>
      <c r="H83" t="s">
        <v>16</v>
      </c>
      <c r="I83" s="1">
        <v>42056</v>
      </c>
      <c r="J83" s="2">
        <v>37212</v>
      </c>
      <c r="K83">
        <v>2</v>
      </c>
      <c r="L83">
        <v>10</v>
      </c>
      <c r="M83" t="s">
        <v>17</v>
      </c>
      <c r="N83" t="str">
        <f t="shared" si="4"/>
        <v>20-30</v>
      </c>
      <c r="O83">
        <f t="shared" si="5"/>
        <v>2015</v>
      </c>
    </row>
    <row r="84" spans="1:15" x14ac:dyDescent="0.25">
      <c r="A84">
        <v>83</v>
      </c>
      <c r="B84" t="s">
        <v>36</v>
      </c>
      <c r="C84" t="s">
        <v>70</v>
      </c>
      <c r="D84" t="str">
        <f t="shared" si="3"/>
        <v>Michael Harris</v>
      </c>
      <c r="E84" t="s">
        <v>28</v>
      </c>
      <c r="F84">
        <v>40</v>
      </c>
      <c r="G84" t="s">
        <v>24</v>
      </c>
      <c r="H84" t="s">
        <v>25</v>
      </c>
      <c r="I84" s="1">
        <v>45410</v>
      </c>
      <c r="J84" s="2">
        <v>25250</v>
      </c>
      <c r="K84">
        <v>5</v>
      </c>
      <c r="L84">
        <v>1</v>
      </c>
      <c r="M84" t="s">
        <v>26</v>
      </c>
      <c r="N84" t="str">
        <f t="shared" si="4"/>
        <v>31-40</v>
      </c>
      <c r="O84">
        <f t="shared" si="5"/>
        <v>2024</v>
      </c>
    </row>
    <row r="85" spans="1:15" x14ac:dyDescent="0.25">
      <c r="A85">
        <v>84</v>
      </c>
      <c r="B85" t="s">
        <v>51</v>
      </c>
      <c r="C85" t="s">
        <v>54</v>
      </c>
      <c r="D85" t="str">
        <f t="shared" si="3"/>
        <v>Paul Smith</v>
      </c>
      <c r="E85" t="s">
        <v>28</v>
      </c>
      <c r="F85">
        <v>28</v>
      </c>
      <c r="G85" t="s">
        <v>39</v>
      </c>
      <c r="H85" t="s">
        <v>25</v>
      </c>
      <c r="I85" s="1">
        <v>42957</v>
      </c>
      <c r="J85" s="2">
        <v>40876</v>
      </c>
      <c r="K85">
        <v>4</v>
      </c>
      <c r="L85">
        <v>8</v>
      </c>
      <c r="M85" t="s">
        <v>26</v>
      </c>
      <c r="N85" t="str">
        <f t="shared" si="4"/>
        <v>20-30</v>
      </c>
      <c r="O85">
        <f t="shared" si="5"/>
        <v>2017</v>
      </c>
    </row>
    <row r="86" spans="1:15" x14ac:dyDescent="0.25">
      <c r="A86">
        <v>85</v>
      </c>
      <c r="B86" t="s">
        <v>73</v>
      </c>
      <c r="C86" t="s">
        <v>46</v>
      </c>
      <c r="D86" t="str">
        <f t="shared" si="3"/>
        <v>Daniel Walker</v>
      </c>
      <c r="E86" t="s">
        <v>28</v>
      </c>
      <c r="F86">
        <v>48</v>
      </c>
      <c r="G86" t="s">
        <v>39</v>
      </c>
      <c r="H86" t="s">
        <v>34</v>
      </c>
      <c r="I86" s="1">
        <v>42440</v>
      </c>
      <c r="J86" s="2">
        <v>28811</v>
      </c>
      <c r="K86">
        <v>4</v>
      </c>
      <c r="L86">
        <v>9</v>
      </c>
      <c r="M86" t="s">
        <v>26</v>
      </c>
      <c r="N86" t="str">
        <f t="shared" si="4"/>
        <v>41-50</v>
      </c>
      <c r="O86">
        <f t="shared" si="5"/>
        <v>2016</v>
      </c>
    </row>
    <row r="87" spans="1:15" x14ac:dyDescent="0.25">
      <c r="A87">
        <v>86</v>
      </c>
      <c r="B87" t="s">
        <v>62</v>
      </c>
      <c r="C87" t="s">
        <v>19</v>
      </c>
      <c r="D87" t="str">
        <f t="shared" si="3"/>
        <v>Jessica Lewis</v>
      </c>
      <c r="E87" t="s">
        <v>14</v>
      </c>
      <c r="F87">
        <v>59</v>
      </c>
      <c r="G87" t="s">
        <v>15</v>
      </c>
      <c r="H87" t="s">
        <v>34</v>
      </c>
      <c r="I87" s="1">
        <v>40469</v>
      </c>
      <c r="J87" s="2">
        <v>94552</v>
      </c>
      <c r="K87">
        <v>2</v>
      </c>
      <c r="L87">
        <v>15</v>
      </c>
      <c r="M87" t="s">
        <v>26</v>
      </c>
      <c r="N87" t="str">
        <f t="shared" si="4"/>
        <v>51-60</v>
      </c>
      <c r="O87">
        <f t="shared" si="5"/>
        <v>2010</v>
      </c>
    </row>
    <row r="88" spans="1:15" x14ac:dyDescent="0.25">
      <c r="A88">
        <v>87</v>
      </c>
      <c r="B88" t="s">
        <v>29</v>
      </c>
      <c r="C88" t="s">
        <v>43</v>
      </c>
      <c r="D88" t="str">
        <f t="shared" si="3"/>
        <v>Jennifer Jackson</v>
      </c>
      <c r="E88" t="s">
        <v>14</v>
      </c>
      <c r="F88">
        <v>42</v>
      </c>
      <c r="G88" t="s">
        <v>15</v>
      </c>
      <c r="H88" t="s">
        <v>25</v>
      </c>
      <c r="I88" s="1">
        <v>44588</v>
      </c>
      <c r="J88" s="2">
        <v>84682</v>
      </c>
      <c r="K88">
        <v>5</v>
      </c>
      <c r="L88">
        <v>4</v>
      </c>
      <c r="M88" t="s">
        <v>26</v>
      </c>
      <c r="N88" t="str">
        <f t="shared" si="4"/>
        <v>41-50</v>
      </c>
      <c r="O88">
        <f t="shared" si="5"/>
        <v>2022</v>
      </c>
    </row>
    <row r="89" spans="1:15" x14ac:dyDescent="0.25">
      <c r="A89">
        <v>88</v>
      </c>
      <c r="B89" t="s">
        <v>60</v>
      </c>
      <c r="C89" t="s">
        <v>66</v>
      </c>
      <c r="D89" t="str">
        <f t="shared" si="3"/>
        <v>Elizabeth Robinson</v>
      </c>
      <c r="E89" t="s">
        <v>14</v>
      </c>
      <c r="F89">
        <v>43</v>
      </c>
      <c r="G89" t="s">
        <v>39</v>
      </c>
      <c r="H89" t="s">
        <v>25</v>
      </c>
      <c r="I89" s="1">
        <v>40298</v>
      </c>
      <c r="J89" s="2">
        <v>88795</v>
      </c>
      <c r="K89">
        <v>2</v>
      </c>
      <c r="L89">
        <v>15</v>
      </c>
      <c r="M89" t="s">
        <v>26</v>
      </c>
      <c r="N89" t="str">
        <f t="shared" si="4"/>
        <v>41-50</v>
      </c>
      <c r="O89">
        <f t="shared" si="5"/>
        <v>2010</v>
      </c>
    </row>
    <row r="90" spans="1:15" x14ac:dyDescent="0.25">
      <c r="A90">
        <v>89</v>
      </c>
      <c r="B90" t="s">
        <v>18</v>
      </c>
      <c r="C90" t="s">
        <v>43</v>
      </c>
      <c r="D90" t="str">
        <f t="shared" si="3"/>
        <v>Sarah Jackson</v>
      </c>
      <c r="E90" t="s">
        <v>14</v>
      </c>
      <c r="F90">
        <v>27</v>
      </c>
      <c r="G90" t="s">
        <v>24</v>
      </c>
      <c r="H90" t="s">
        <v>16</v>
      </c>
      <c r="I90" s="1">
        <v>42593</v>
      </c>
      <c r="J90" s="2">
        <v>27843</v>
      </c>
      <c r="K90">
        <v>4</v>
      </c>
      <c r="L90">
        <v>9</v>
      </c>
      <c r="M90" t="s">
        <v>26</v>
      </c>
      <c r="N90" t="str">
        <f t="shared" si="4"/>
        <v>20-30</v>
      </c>
      <c r="O90">
        <f t="shared" si="5"/>
        <v>2016</v>
      </c>
    </row>
    <row r="91" spans="1:15" x14ac:dyDescent="0.25">
      <c r="A91">
        <v>90</v>
      </c>
      <c r="B91" t="s">
        <v>27</v>
      </c>
      <c r="C91" t="s">
        <v>70</v>
      </c>
      <c r="D91" t="str">
        <f t="shared" si="3"/>
        <v>Robert Harris</v>
      </c>
      <c r="E91" t="s">
        <v>28</v>
      </c>
      <c r="F91">
        <v>34</v>
      </c>
      <c r="G91" t="s">
        <v>20</v>
      </c>
      <c r="H91" t="s">
        <v>25</v>
      </c>
      <c r="I91" s="1">
        <v>42657</v>
      </c>
      <c r="J91" s="2">
        <v>35493</v>
      </c>
      <c r="K91">
        <v>3</v>
      </c>
      <c r="L91">
        <v>9</v>
      </c>
      <c r="M91" t="s">
        <v>26</v>
      </c>
      <c r="N91" t="str">
        <f t="shared" si="4"/>
        <v>31-40</v>
      </c>
      <c r="O91">
        <f t="shared" si="5"/>
        <v>2016</v>
      </c>
    </row>
    <row r="92" spans="1:15" x14ac:dyDescent="0.25">
      <c r="A92">
        <v>91</v>
      </c>
      <c r="B92" t="s">
        <v>63</v>
      </c>
      <c r="C92" t="s">
        <v>64</v>
      </c>
      <c r="D92" t="str">
        <f t="shared" si="3"/>
        <v>Steven Anderson</v>
      </c>
      <c r="E92" t="s">
        <v>28</v>
      </c>
      <c r="F92">
        <v>41</v>
      </c>
      <c r="G92" t="s">
        <v>39</v>
      </c>
      <c r="H92" t="s">
        <v>21</v>
      </c>
      <c r="I92" s="1">
        <v>43313</v>
      </c>
      <c r="J92" s="2">
        <v>48732</v>
      </c>
      <c r="K92">
        <v>2</v>
      </c>
      <c r="L92">
        <v>7</v>
      </c>
      <c r="M92" t="s">
        <v>17</v>
      </c>
      <c r="N92" t="str">
        <f t="shared" si="4"/>
        <v>41-50</v>
      </c>
      <c r="O92">
        <f t="shared" si="5"/>
        <v>2018</v>
      </c>
    </row>
    <row r="93" spans="1:15" x14ac:dyDescent="0.25">
      <c r="A93">
        <v>92</v>
      </c>
      <c r="B93" t="s">
        <v>44</v>
      </c>
      <c r="C93" t="s">
        <v>46</v>
      </c>
      <c r="D93" t="str">
        <f t="shared" si="3"/>
        <v>Sophia Walker</v>
      </c>
      <c r="E93" t="s">
        <v>14</v>
      </c>
      <c r="F93">
        <v>44</v>
      </c>
      <c r="G93" t="s">
        <v>24</v>
      </c>
      <c r="H93" t="s">
        <v>16</v>
      </c>
      <c r="I93" s="1">
        <v>45233</v>
      </c>
      <c r="J93" s="2">
        <v>70245</v>
      </c>
      <c r="K93">
        <v>3</v>
      </c>
      <c r="L93">
        <v>2</v>
      </c>
      <c r="M93" t="s">
        <v>26</v>
      </c>
      <c r="N93" t="str">
        <f t="shared" si="4"/>
        <v>41-50</v>
      </c>
      <c r="O93">
        <f t="shared" si="5"/>
        <v>2023</v>
      </c>
    </row>
    <row r="94" spans="1:15" x14ac:dyDescent="0.25">
      <c r="A94">
        <v>93</v>
      </c>
      <c r="B94" t="s">
        <v>35</v>
      </c>
      <c r="C94" t="s">
        <v>56</v>
      </c>
      <c r="D94" t="str">
        <f t="shared" si="3"/>
        <v>Thomas Garcia</v>
      </c>
      <c r="E94" t="s">
        <v>28</v>
      </c>
      <c r="F94">
        <v>42</v>
      </c>
      <c r="G94" t="s">
        <v>15</v>
      </c>
      <c r="H94" t="s">
        <v>25</v>
      </c>
      <c r="I94" s="1">
        <v>40570</v>
      </c>
      <c r="J94" s="2">
        <v>52173</v>
      </c>
      <c r="K94">
        <v>4</v>
      </c>
      <c r="L94">
        <v>15</v>
      </c>
      <c r="M94" t="s">
        <v>17</v>
      </c>
      <c r="N94" t="str">
        <f t="shared" si="4"/>
        <v>41-50</v>
      </c>
      <c r="O94">
        <f t="shared" si="5"/>
        <v>2011</v>
      </c>
    </row>
    <row r="95" spans="1:15" x14ac:dyDescent="0.25">
      <c r="A95">
        <v>94</v>
      </c>
      <c r="B95" t="s">
        <v>62</v>
      </c>
      <c r="C95" t="s">
        <v>64</v>
      </c>
      <c r="D95" t="str">
        <f t="shared" si="3"/>
        <v>Jessica Anderson</v>
      </c>
      <c r="E95" t="s">
        <v>14</v>
      </c>
      <c r="F95">
        <v>55</v>
      </c>
      <c r="G95" t="s">
        <v>39</v>
      </c>
      <c r="H95" t="s">
        <v>16</v>
      </c>
      <c r="I95" s="1">
        <v>43612</v>
      </c>
      <c r="J95" s="2">
        <v>35228</v>
      </c>
      <c r="K95">
        <v>4</v>
      </c>
      <c r="L95">
        <v>6</v>
      </c>
      <c r="M95" t="s">
        <v>17</v>
      </c>
      <c r="N95" t="str">
        <f t="shared" si="4"/>
        <v>51-60</v>
      </c>
      <c r="O95">
        <f t="shared" si="5"/>
        <v>2019</v>
      </c>
    </row>
    <row r="96" spans="1:15" x14ac:dyDescent="0.25">
      <c r="A96">
        <v>95</v>
      </c>
      <c r="B96" t="s">
        <v>68</v>
      </c>
      <c r="C96" t="s">
        <v>23</v>
      </c>
      <c r="D96" t="str">
        <f t="shared" si="3"/>
        <v>Mark Johnson</v>
      </c>
      <c r="E96" t="s">
        <v>28</v>
      </c>
      <c r="F96">
        <v>35</v>
      </c>
      <c r="G96" t="s">
        <v>20</v>
      </c>
      <c r="H96" t="s">
        <v>25</v>
      </c>
      <c r="I96" s="1">
        <v>42613</v>
      </c>
      <c r="J96" s="2">
        <v>91688</v>
      </c>
      <c r="K96">
        <v>1</v>
      </c>
      <c r="L96">
        <v>9</v>
      </c>
      <c r="M96" t="s">
        <v>17</v>
      </c>
      <c r="N96" t="str">
        <f t="shared" si="4"/>
        <v>31-40</v>
      </c>
      <c r="O96">
        <f t="shared" si="5"/>
        <v>2016</v>
      </c>
    </row>
    <row r="97" spans="1:15" x14ac:dyDescent="0.25">
      <c r="A97">
        <v>96</v>
      </c>
      <c r="B97" t="s">
        <v>47</v>
      </c>
      <c r="C97" t="s">
        <v>45</v>
      </c>
      <c r="D97" t="str">
        <f t="shared" si="3"/>
        <v>David White</v>
      </c>
      <c r="E97" t="s">
        <v>28</v>
      </c>
      <c r="F97">
        <v>56</v>
      </c>
      <c r="G97" t="s">
        <v>15</v>
      </c>
      <c r="H97" t="s">
        <v>21</v>
      </c>
      <c r="I97" s="1">
        <v>44809</v>
      </c>
      <c r="J97" s="2">
        <v>38590</v>
      </c>
      <c r="K97">
        <v>5</v>
      </c>
      <c r="L97">
        <v>3</v>
      </c>
      <c r="M97" t="s">
        <v>17</v>
      </c>
      <c r="N97" t="str">
        <f t="shared" si="4"/>
        <v>51-60</v>
      </c>
      <c r="O97">
        <f t="shared" si="5"/>
        <v>2022</v>
      </c>
    </row>
    <row r="98" spans="1:15" x14ac:dyDescent="0.25">
      <c r="A98">
        <v>97</v>
      </c>
      <c r="B98" t="s">
        <v>12</v>
      </c>
      <c r="C98" t="s">
        <v>58</v>
      </c>
      <c r="D98" t="str">
        <f t="shared" si="3"/>
        <v>Susan Clark</v>
      </c>
      <c r="E98" t="s">
        <v>14</v>
      </c>
      <c r="F98">
        <v>47</v>
      </c>
      <c r="G98" t="s">
        <v>55</v>
      </c>
      <c r="H98" t="s">
        <v>25</v>
      </c>
      <c r="I98" s="1">
        <v>45065</v>
      </c>
      <c r="J98" s="2">
        <v>71038</v>
      </c>
      <c r="K98">
        <v>5</v>
      </c>
      <c r="L98">
        <v>2</v>
      </c>
      <c r="M98" t="s">
        <v>26</v>
      </c>
      <c r="N98" t="str">
        <f t="shared" si="4"/>
        <v>41-50</v>
      </c>
      <c r="O98">
        <f t="shared" si="5"/>
        <v>2023</v>
      </c>
    </row>
    <row r="99" spans="1:15" x14ac:dyDescent="0.25">
      <c r="A99">
        <v>98</v>
      </c>
      <c r="B99" t="s">
        <v>72</v>
      </c>
      <c r="C99" t="s">
        <v>13</v>
      </c>
      <c r="D99" t="str">
        <f t="shared" si="3"/>
        <v>Emma Martin</v>
      </c>
      <c r="E99" t="s">
        <v>14</v>
      </c>
      <c r="F99">
        <v>32</v>
      </c>
      <c r="G99" t="s">
        <v>39</v>
      </c>
      <c r="H99" t="s">
        <v>21</v>
      </c>
      <c r="I99" s="1">
        <v>44935</v>
      </c>
      <c r="J99" s="2">
        <v>80028</v>
      </c>
      <c r="K99">
        <v>2</v>
      </c>
      <c r="L99">
        <v>3</v>
      </c>
      <c r="M99" t="s">
        <v>17</v>
      </c>
      <c r="N99" t="str">
        <f t="shared" si="4"/>
        <v>31-40</v>
      </c>
      <c r="O99">
        <f t="shared" si="5"/>
        <v>2023</v>
      </c>
    </row>
    <row r="100" spans="1:15" x14ac:dyDescent="0.25">
      <c r="A100">
        <v>99</v>
      </c>
      <c r="B100" t="s">
        <v>44</v>
      </c>
      <c r="C100" t="s">
        <v>52</v>
      </c>
      <c r="D100" t="str">
        <f t="shared" si="3"/>
        <v>Sophia Allen</v>
      </c>
      <c r="E100" t="s">
        <v>14</v>
      </c>
      <c r="F100">
        <v>36</v>
      </c>
      <c r="G100" t="s">
        <v>55</v>
      </c>
      <c r="H100" t="s">
        <v>25</v>
      </c>
      <c r="I100" s="1">
        <v>43139</v>
      </c>
      <c r="J100" s="2">
        <v>38711</v>
      </c>
      <c r="K100">
        <v>2</v>
      </c>
      <c r="L100">
        <v>7</v>
      </c>
      <c r="M100" t="s">
        <v>17</v>
      </c>
      <c r="N100" t="str">
        <f t="shared" si="4"/>
        <v>31-40</v>
      </c>
      <c r="O100">
        <f t="shared" si="5"/>
        <v>2018</v>
      </c>
    </row>
    <row r="101" spans="1:15" x14ac:dyDescent="0.25">
      <c r="A101">
        <v>100</v>
      </c>
      <c r="B101" t="s">
        <v>38</v>
      </c>
      <c r="C101" t="s">
        <v>54</v>
      </c>
      <c r="D101" t="str">
        <f t="shared" si="3"/>
        <v>Mary Smith</v>
      </c>
      <c r="E101" t="s">
        <v>14</v>
      </c>
      <c r="F101">
        <v>24</v>
      </c>
      <c r="G101" t="s">
        <v>20</v>
      </c>
      <c r="H101" t="s">
        <v>34</v>
      </c>
      <c r="I101" s="1">
        <v>40612</v>
      </c>
      <c r="J101" s="2">
        <v>50320</v>
      </c>
      <c r="K101">
        <v>5</v>
      </c>
      <c r="L101">
        <v>14</v>
      </c>
      <c r="M101" t="s">
        <v>17</v>
      </c>
      <c r="N101" t="str">
        <f t="shared" si="4"/>
        <v>20-30</v>
      </c>
      <c r="O101">
        <f t="shared" si="5"/>
        <v>2011</v>
      </c>
    </row>
    <row r="102" spans="1:15" x14ac:dyDescent="0.25">
      <c r="A102">
        <v>101</v>
      </c>
      <c r="B102" t="s">
        <v>40</v>
      </c>
      <c r="C102" t="s">
        <v>46</v>
      </c>
      <c r="D102" t="str">
        <f t="shared" si="3"/>
        <v>John Walker</v>
      </c>
      <c r="E102" t="s">
        <v>28</v>
      </c>
      <c r="F102">
        <v>35</v>
      </c>
      <c r="G102" t="s">
        <v>39</v>
      </c>
      <c r="H102" t="s">
        <v>16</v>
      </c>
      <c r="I102" s="1">
        <v>43830</v>
      </c>
      <c r="J102" s="2">
        <v>69835</v>
      </c>
      <c r="K102">
        <v>1</v>
      </c>
      <c r="L102">
        <v>6</v>
      </c>
      <c r="M102" t="s">
        <v>26</v>
      </c>
      <c r="N102" t="str">
        <f t="shared" si="4"/>
        <v>31-40</v>
      </c>
      <c r="O102">
        <f t="shared" si="5"/>
        <v>2019</v>
      </c>
    </row>
    <row r="103" spans="1:15" x14ac:dyDescent="0.25">
      <c r="A103">
        <v>102</v>
      </c>
      <c r="B103" t="s">
        <v>71</v>
      </c>
      <c r="C103" t="s">
        <v>37</v>
      </c>
      <c r="D103" t="str">
        <f t="shared" si="3"/>
        <v>Joseph Taylor</v>
      </c>
      <c r="E103" t="s">
        <v>28</v>
      </c>
      <c r="F103">
        <v>30</v>
      </c>
      <c r="G103" t="s">
        <v>39</v>
      </c>
      <c r="H103" t="s">
        <v>31</v>
      </c>
      <c r="I103" s="1">
        <v>45624</v>
      </c>
      <c r="J103" s="2">
        <v>34657</v>
      </c>
      <c r="K103">
        <v>5</v>
      </c>
      <c r="L103">
        <v>1</v>
      </c>
      <c r="M103" t="s">
        <v>26</v>
      </c>
      <c r="N103" t="str">
        <f t="shared" si="4"/>
        <v>20-30</v>
      </c>
      <c r="O103">
        <f t="shared" si="5"/>
        <v>2024</v>
      </c>
    </row>
    <row r="104" spans="1:15" x14ac:dyDescent="0.25">
      <c r="A104">
        <v>103</v>
      </c>
      <c r="B104" t="s">
        <v>35</v>
      </c>
      <c r="C104" t="s">
        <v>23</v>
      </c>
      <c r="D104" t="str">
        <f t="shared" si="3"/>
        <v>Thomas Johnson</v>
      </c>
      <c r="E104" t="s">
        <v>28</v>
      </c>
      <c r="F104">
        <v>51</v>
      </c>
      <c r="G104" t="s">
        <v>15</v>
      </c>
      <c r="H104" t="s">
        <v>21</v>
      </c>
      <c r="I104" s="1">
        <v>44715</v>
      </c>
      <c r="J104" s="2">
        <v>91928</v>
      </c>
      <c r="K104">
        <v>2</v>
      </c>
      <c r="L104">
        <v>3</v>
      </c>
      <c r="M104" t="s">
        <v>26</v>
      </c>
      <c r="N104" t="str">
        <f t="shared" si="4"/>
        <v>51-60</v>
      </c>
      <c r="O104">
        <f t="shared" si="5"/>
        <v>2022</v>
      </c>
    </row>
    <row r="105" spans="1:15" x14ac:dyDescent="0.25">
      <c r="A105">
        <v>104</v>
      </c>
      <c r="B105" t="s">
        <v>62</v>
      </c>
      <c r="C105" t="s">
        <v>13</v>
      </c>
      <c r="D105" t="str">
        <f t="shared" si="3"/>
        <v>Jessica Martin</v>
      </c>
      <c r="E105" t="s">
        <v>14</v>
      </c>
      <c r="F105">
        <v>28</v>
      </c>
      <c r="G105" t="s">
        <v>15</v>
      </c>
      <c r="H105" t="s">
        <v>16</v>
      </c>
      <c r="I105" s="1">
        <v>40533</v>
      </c>
      <c r="J105" s="2">
        <v>77226</v>
      </c>
      <c r="K105">
        <v>1</v>
      </c>
      <c r="L105">
        <v>15</v>
      </c>
      <c r="M105" t="s">
        <v>17</v>
      </c>
      <c r="N105" t="str">
        <f t="shared" si="4"/>
        <v>20-30</v>
      </c>
      <c r="O105">
        <f t="shared" si="5"/>
        <v>2010</v>
      </c>
    </row>
    <row r="106" spans="1:15" x14ac:dyDescent="0.25">
      <c r="A106">
        <v>105</v>
      </c>
      <c r="B106" t="s">
        <v>71</v>
      </c>
      <c r="C106" t="s">
        <v>70</v>
      </c>
      <c r="D106" t="str">
        <f t="shared" si="3"/>
        <v>Joseph Harris</v>
      </c>
      <c r="E106" t="s">
        <v>28</v>
      </c>
      <c r="F106">
        <v>52</v>
      </c>
      <c r="G106" t="s">
        <v>15</v>
      </c>
      <c r="H106" t="s">
        <v>25</v>
      </c>
      <c r="I106" s="1">
        <v>42467</v>
      </c>
      <c r="J106" s="2">
        <v>66523</v>
      </c>
      <c r="K106">
        <v>1</v>
      </c>
      <c r="L106">
        <v>9</v>
      </c>
      <c r="M106" t="s">
        <v>17</v>
      </c>
      <c r="N106" t="str">
        <f t="shared" si="4"/>
        <v>51-60</v>
      </c>
      <c r="O106">
        <f t="shared" si="5"/>
        <v>2016</v>
      </c>
    </row>
    <row r="107" spans="1:15" x14ac:dyDescent="0.25">
      <c r="A107">
        <v>106</v>
      </c>
      <c r="B107" t="s">
        <v>50</v>
      </c>
      <c r="C107" t="s">
        <v>52</v>
      </c>
      <c r="D107" t="str">
        <f t="shared" si="3"/>
        <v>Anthony Allen</v>
      </c>
      <c r="E107" t="s">
        <v>28</v>
      </c>
      <c r="F107">
        <v>56</v>
      </c>
      <c r="G107" t="s">
        <v>39</v>
      </c>
      <c r="H107" t="s">
        <v>31</v>
      </c>
      <c r="I107" s="1">
        <v>44346</v>
      </c>
      <c r="J107" s="2">
        <v>55913</v>
      </c>
      <c r="K107">
        <v>2</v>
      </c>
      <c r="L107">
        <v>4</v>
      </c>
      <c r="M107" t="s">
        <v>17</v>
      </c>
      <c r="N107" t="str">
        <f t="shared" si="4"/>
        <v>51-60</v>
      </c>
      <c r="O107">
        <f t="shared" si="5"/>
        <v>2021</v>
      </c>
    </row>
    <row r="108" spans="1:15" x14ac:dyDescent="0.25">
      <c r="A108">
        <v>107</v>
      </c>
      <c r="B108" t="s">
        <v>72</v>
      </c>
      <c r="C108" t="s">
        <v>43</v>
      </c>
      <c r="D108" t="str">
        <f t="shared" si="3"/>
        <v>Emma Jackson</v>
      </c>
      <c r="E108" t="s">
        <v>14</v>
      </c>
      <c r="F108">
        <v>46</v>
      </c>
      <c r="G108" t="s">
        <v>20</v>
      </c>
      <c r="H108" t="s">
        <v>34</v>
      </c>
      <c r="I108" s="1">
        <v>42002</v>
      </c>
      <c r="J108" s="2">
        <v>48091</v>
      </c>
      <c r="K108">
        <v>1</v>
      </c>
      <c r="L108">
        <v>11</v>
      </c>
      <c r="M108" t="s">
        <v>26</v>
      </c>
      <c r="N108" t="str">
        <f t="shared" si="4"/>
        <v>41-50</v>
      </c>
      <c r="O108">
        <f t="shared" si="5"/>
        <v>2014</v>
      </c>
    </row>
    <row r="109" spans="1:15" x14ac:dyDescent="0.25">
      <c r="A109">
        <v>108</v>
      </c>
      <c r="B109" t="s">
        <v>74</v>
      </c>
      <c r="C109" t="s">
        <v>19</v>
      </c>
      <c r="D109" t="str">
        <f t="shared" si="3"/>
        <v>James Lewis</v>
      </c>
      <c r="E109" t="s">
        <v>28</v>
      </c>
      <c r="F109">
        <v>43</v>
      </c>
      <c r="G109" t="s">
        <v>20</v>
      </c>
      <c r="H109" t="s">
        <v>34</v>
      </c>
      <c r="I109" s="1">
        <v>44769</v>
      </c>
      <c r="J109" s="2">
        <v>72742</v>
      </c>
      <c r="K109">
        <v>5</v>
      </c>
      <c r="L109">
        <v>3</v>
      </c>
      <c r="M109" t="s">
        <v>17</v>
      </c>
      <c r="N109" t="str">
        <f t="shared" si="4"/>
        <v>41-50</v>
      </c>
      <c r="O109">
        <f t="shared" si="5"/>
        <v>2022</v>
      </c>
    </row>
    <row r="110" spans="1:15" x14ac:dyDescent="0.25">
      <c r="A110">
        <v>109</v>
      </c>
      <c r="B110" t="s">
        <v>68</v>
      </c>
      <c r="C110" t="s">
        <v>66</v>
      </c>
      <c r="D110" t="str">
        <f t="shared" si="3"/>
        <v>Mark Robinson</v>
      </c>
      <c r="E110" t="s">
        <v>28</v>
      </c>
      <c r="F110">
        <v>35</v>
      </c>
      <c r="G110" t="s">
        <v>20</v>
      </c>
      <c r="H110" t="s">
        <v>31</v>
      </c>
      <c r="I110" s="1">
        <v>41700</v>
      </c>
      <c r="J110" s="2">
        <v>59014</v>
      </c>
      <c r="K110">
        <v>1</v>
      </c>
      <c r="L110">
        <v>11</v>
      </c>
      <c r="M110" t="s">
        <v>26</v>
      </c>
      <c r="N110" t="str">
        <f t="shared" si="4"/>
        <v>31-40</v>
      </c>
      <c r="O110">
        <f t="shared" si="5"/>
        <v>2014</v>
      </c>
    </row>
    <row r="111" spans="1:15" x14ac:dyDescent="0.25">
      <c r="A111">
        <v>110</v>
      </c>
      <c r="B111" t="s">
        <v>40</v>
      </c>
      <c r="C111" t="s">
        <v>52</v>
      </c>
      <c r="D111" t="str">
        <f t="shared" si="3"/>
        <v>John Allen</v>
      </c>
      <c r="E111" t="s">
        <v>28</v>
      </c>
      <c r="F111">
        <v>46</v>
      </c>
      <c r="G111" t="s">
        <v>55</v>
      </c>
      <c r="H111" t="s">
        <v>25</v>
      </c>
      <c r="I111" s="1">
        <v>41228</v>
      </c>
      <c r="J111" s="2">
        <v>79623</v>
      </c>
      <c r="K111">
        <v>5</v>
      </c>
      <c r="L111">
        <v>13</v>
      </c>
      <c r="M111" t="s">
        <v>26</v>
      </c>
      <c r="N111" t="str">
        <f t="shared" si="4"/>
        <v>41-50</v>
      </c>
      <c r="O111">
        <f t="shared" si="5"/>
        <v>2012</v>
      </c>
    </row>
    <row r="112" spans="1:15" x14ac:dyDescent="0.25">
      <c r="A112">
        <v>111</v>
      </c>
      <c r="B112" t="s">
        <v>49</v>
      </c>
      <c r="C112" t="s">
        <v>64</v>
      </c>
      <c r="D112" t="str">
        <f t="shared" si="3"/>
        <v>Barbara Anderson</v>
      </c>
      <c r="E112" t="s">
        <v>14</v>
      </c>
      <c r="F112">
        <v>47</v>
      </c>
      <c r="G112" t="s">
        <v>55</v>
      </c>
      <c r="H112" t="s">
        <v>16</v>
      </c>
      <c r="I112" s="1">
        <v>43941</v>
      </c>
      <c r="J112" s="2">
        <v>83548</v>
      </c>
      <c r="K112">
        <v>2</v>
      </c>
      <c r="L112">
        <v>5</v>
      </c>
      <c r="M112" t="s">
        <v>17</v>
      </c>
      <c r="N112" t="str">
        <f t="shared" si="4"/>
        <v>41-50</v>
      </c>
      <c r="O112">
        <f t="shared" si="5"/>
        <v>2020</v>
      </c>
    </row>
    <row r="113" spans="1:15" x14ac:dyDescent="0.25">
      <c r="A113">
        <v>112</v>
      </c>
      <c r="B113" t="s">
        <v>60</v>
      </c>
      <c r="C113" t="s">
        <v>54</v>
      </c>
      <c r="D113" t="str">
        <f t="shared" si="3"/>
        <v>Elizabeth Smith</v>
      </c>
      <c r="E113" t="s">
        <v>14</v>
      </c>
      <c r="F113">
        <v>60</v>
      </c>
      <c r="G113" t="s">
        <v>20</v>
      </c>
      <c r="H113" t="s">
        <v>25</v>
      </c>
      <c r="I113" s="1">
        <v>41635</v>
      </c>
      <c r="J113" s="2">
        <v>55592</v>
      </c>
      <c r="K113">
        <v>2</v>
      </c>
      <c r="L113">
        <v>12</v>
      </c>
      <c r="M113" t="s">
        <v>17</v>
      </c>
      <c r="N113" t="str">
        <f t="shared" si="4"/>
        <v>51-60</v>
      </c>
      <c r="O113">
        <f t="shared" si="5"/>
        <v>2013</v>
      </c>
    </row>
    <row r="114" spans="1:15" x14ac:dyDescent="0.25">
      <c r="A114">
        <v>113</v>
      </c>
      <c r="B114" t="s">
        <v>27</v>
      </c>
      <c r="C114" t="s">
        <v>13</v>
      </c>
      <c r="D114" t="str">
        <f t="shared" si="3"/>
        <v>Robert Martin</v>
      </c>
      <c r="E114" t="s">
        <v>28</v>
      </c>
      <c r="F114">
        <v>44</v>
      </c>
      <c r="G114" t="s">
        <v>24</v>
      </c>
      <c r="H114" t="s">
        <v>16</v>
      </c>
      <c r="I114" s="1">
        <v>44727</v>
      </c>
      <c r="J114" s="2">
        <v>44859</v>
      </c>
      <c r="K114">
        <v>1</v>
      </c>
      <c r="L114">
        <v>3</v>
      </c>
      <c r="M114" t="s">
        <v>17</v>
      </c>
      <c r="N114" t="str">
        <f t="shared" si="4"/>
        <v>41-50</v>
      </c>
      <c r="O114">
        <f t="shared" si="5"/>
        <v>2022</v>
      </c>
    </row>
    <row r="115" spans="1:15" x14ac:dyDescent="0.25">
      <c r="A115">
        <v>114</v>
      </c>
      <c r="B115" t="s">
        <v>61</v>
      </c>
      <c r="C115" t="s">
        <v>70</v>
      </c>
      <c r="D115" t="str">
        <f t="shared" si="3"/>
        <v>Christopher Harris</v>
      </c>
      <c r="E115" t="s">
        <v>28</v>
      </c>
      <c r="F115">
        <v>35</v>
      </c>
      <c r="G115" t="s">
        <v>41</v>
      </c>
      <c r="H115" t="s">
        <v>34</v>
      </c>
      <c r="I115" s="1">
        <v>40223</v>
      </c>
      <c r="J115" s="2">
        <v>38909</v>
      </c>
      <c r="K115">
        <v>3</v>
      </c>
      <c r="L115">
        <v>15</v>
      </c>
      <c r="M115" t="s">
        <v>26</v>
      </c>
      <c r="N115" t="str">
        <f t="shared" si="4"/>
        <v>31-40</v>
      </c>
      <c r="O115">
        <f t="shared" si="5"/>
        <v>2010</v>
      </c>
    </row>
    <row r="116" spans="1:15" x14ac:dyDescent="0.25">
      <c r="A116">
        <v>115</v>
      </c>
      <c r="B116" t="s">
        <v>74</v>
      </c>
      <c r="C116" t="s">
        <v>45</v>
      </c>
      <c r="D116" t="str">
        <f t="shared" si="3"/>
        <v>James White</v>
      </c>
      <c r="E116" t="s">
        <v>28</v>
      </c>
      <c r="F116">
        <v>37</v>
      </c>
      <c r="G116" t="s">
        <v>20</v>
      </c>
      <c r="H116" t="s">
        <v>25</v>
      </c>
      <c r="I116" s="1">
        <v>45201</v>
      </c>
      <c r="J116" s="2">
        <v>83604</v>
      </c>
      <c r="K116">
        <v>1</v>
      </c>
      <c r="L116">
        <v>2</v>
      </c>
      <c r="M116" t="s">
        <v>26</v>
      </c>
      <c r="N116" t="str">
        <f t="shared" si="4"/>
        <v>31-40</v>
      </c>
      <c r="O116">
        <f t="shared" si="5"/>
        <v>2023</v>
      </c>
    </row>
    <row r="117" spans="1:15" x14ac:dyDescent="0.25">
      <c r="A117">
        <v>116</v>
      </c>
      <c r="B117" t="s">
        <v>42</v>
      </c>
      <c r="C117" t="s">
        <v>19</v>
      </c>
      <c r="D117" t="str">
        <f t="shared" si="3"/>
        <v>William Lewis</v>
      </c>
      <c r="E117" t="s">
        <v>28</v>
      </c>
      <c r="F117">
        <v>48</v>
      </c>
      <c r="G117" t="s">
        <v>39</v>
      </c>
      <c r="H117" t="s">
        <v>34</v>
      </c>
      <c r="I117" s="1">
        <v>41721</v>
      </c>
      <c r="J117" s="2">
        <v>60384</v>
      </c>
      <c r="K117">
        <v>2</v>
      </c>
      <c r="L117">
        <v>11</v>
      </c>
      <c r="M117" t="s">
        <v>26</v>
      </c>
      <c r="N117" t="str">
        <f t="shared" si="4"/>
        <v>41-50</v>
      </c>
      <c r="O117">
        <f t="shared" si="5"/>
        <v>2014</v>
      </c>
    </row>
    <row r="118" spans="1:15" x14ac:dyDescent="0.25">
      <c r="A118">
        <v>117</v>
      </c>
      <c r="B118" t="s">
        <v>47</v>
      </c>
      <c r="C118" t="s">
        <v>56</v>
      </c>
      <c r="D118" t="str">
        <f t="shared" si="3"/>
        <v>David Garcia</v>
      </c>
      <c r="E118" t="s">
        <v>28</v>
      </c>
      <c r="F118">
        <v>22</v>
      </c>
      <c r="G118" t="s">
        <v>24</v>
      </c>
      <c r="H118" t="s">
        <v>31</v>
      </c>
      <c r="I118" s="1">
        <v>44779</v>
      </c>
      <c r="J118" s="2">
        <v>25291</v>
      </c>
      <c r="K118">
        <v>5</v>
      </c>
      <c r="L118">
        <v>3</v>
      </c>
      <c r="M118" t="s">
        <v>17</v>
      </c>
      <c r="N118" t="str">
        <f t="shared" si="4"/>
        <v>20-30</v>
      </c>
      <c r="O118">
        <f t="shared" si="5"/>
        <v>2022</v>
      </c>
    </row>
    <row r="119" spans="1:15" x14ac:dyDescent="0.25">
      <c r="A119">
        <v>118</v>
      </c>
      <c r="B119" t="s">
        <v>74</v>
      </c>
      <c r="C119" t="s">
        <v>30</v>
      </c>
      <c r="D119" t="str">
        <f t="shared" si="3"/>
        <v>James Lee</v>
      </c>
      <c r="E119" t="s">
        <v>28</v>
      </c>
      <c r="F119">
        <v>57</v>
      </c>
      <c r="G119" t="s">
        <v>20</v>
      </c>
      <c r="H119" t="s">
        <v>16</v>
      </c>
      <c r="I119" s="1">
        <v>42903</v>
      </c>
      <c r="J119" s="2">
        <v>40100</v>
      </c>
      <c r="K119">
        <v>3</v>
      </c>
      <c r="L119">
        <v>8</v>
      </c>
      <c r="M119" t="s">
        <v>17</v>
      </c>
      <c r="N119" t="str">
        <f t="shared" si="4"/>
        <v>51-60</v>
      </c>
      <c r="O119">
        <f t="shared" si="5"/>
        <v>2017</v>
      </c>
    </row>
    <row r="120" spans="1:15" x14ac:dyDescent="0.25">
      <c r="A120">
        <v>119</v>
      </c>
      <c r="B120" t="s">
        <v>62</v>
      </c>
      <c r="C120" t="s">
        <v>54</v>
      </c>
      <c r="D120" t="str">
        <f t="shared" si="3"/>
        <v>Jessica Smith</v>
      </c>
      <c r="E120" t="s">
        <v>14</v>
      </c>
      <c r="F120">
        <v>28</v>
      </c>
      <c r="G120" t="s">
        <v>41</v>
      </c>
      <c r="H120" t="s">
        <v>31</v>
      </c>
      <c r="I120" s="1">
        <v>42785</v>
      </c>
      <c r="J120" s="2">
        <v>84876</v>
      </c>
      <c r="K120">
        <v>3</v>
      </c>
      <c r="L120">
        <v>8</v>
      </c>
      <c r="M120" t="s">
        <v>26</v>
      </c>
      <c r="N120" t="str">
        <f t="shared" si="4"/>
        <v>20-30</v>
      </c>
      <c r="O120">
        <f t="shared" si="5"/>
        <v>2017</v>
      </c>
    </row>
    <row r="121" spans="1:15" x14ac:dyDescent="0.25">
      <c r="A121">
        <v>120</v>
      </c>
      <c r="B121" t="s">
        <v>40</v>
      </c>
      <c r="C121" t="s">
        <v>23</v>
      </c>
      <c r="D121" t="str">
        <f t="shared" si="3"/>
        <v>John Johnson</v>
      </c>
      <c r="E121" t="s">
        <v>28</v>
      </c>
      <c r="F121">
        <v>58</v>
      </c>
      <c r="G121" t="s">
        <v>39</v>
      </c>
      <c r="H121" t="s">
        <v>21</v>
      </c>
      <c r="I121" s="1">
        <v>41229</v>
      </c>
      <c r="J121" s="2">
        <v>56846</v>
      </c>
      <c r="K121">
        <v>1</v>
      </c>
      <c r="L121">
        <v>13</v>
      </c>
      <c r="M121" t="s">
        <v>26</v>
      </c>
      <c r="N121" t="str">
        <f t="shared" si="4"/>
        <v>51-60</v>
      </c>
      <c r="O121">
        <f t="shared" si="5"/>
        <v>2012</v>
      </c>
    </row>
    <row r="122" spans="1:15" x14ac:dyDescent="0.25">
      <c r="A122">
        <v>121</v>
      </c>
      <c r="B122" t="s">
        <v>42</v>
      </c>
      <c r="C122" t="s">
        <v>23</v>
      </c>
      <c r="D122" t="str">
        <f t="shared" si="3"/>
        <v>William Johnson</v>
      </c>
      <c r="E122" t="s">
        <v>28</v>
      </c>
      <c r="F122">
        <v>27</v>
      </c>
      <c r="G122" t="s">
        <v>20</v>
      </c>
      <c r="H122" t="s">
        <v>25</v>
      </c>
      <c r="I122" s="1">
        <v>45354</v>
      </c>
      <c r="J122" s="2">
        <v>78232</v>
      </c>
      <c r="K122">
        <v>4</v>
      </c>
      <c r="L122">
        <v>1</v>
      </c>
      <c r="M122" t="s">
        <v>26</v>
      </c>
      <c r="N122" t="str">
        <f t="shared" si="4"/>
        <v>20-30</v>
      </c>
      <c r="O122">
        <f t="shared" si="5"/>
        <v>2024</v>
      </c>
    </row>
    <row r="123" spans="1:15" x14ac:dyDescent="0.25">
      <c r="A123">
        <v>122</v>
      </c>
      <c r="B123" t="s">
        <v>68</v>
      </c>
      <c r="C123" t="s">
        <v>13</v>
      </c>
      <c r="D123" t="str">
        <f t="shared" si="3"/>
        <v>Mark Martin</v>
      </c>
      <c r="E123" t="s">
        <v>28</v>
      </c>
      <c r="F123">
        <v>58</v>
      </c>
      <c r="G123" t="s">
        <v>41</v>
      </c>
      <c r="H123" t="s">
        <v>21</v>
      </c>
      <c r="I123" s="1">
        <v>43718</v>
      </c>
      <c r="J123" s="2">
        <v>77741</v>
      </c>
      <c r="K123">
        <v>2</v>
      </c>
      <c r="L123">
        <v>6</v>
      </c>
      <c r="M123" t="s">
        <v>26</v>
      </c>
      <c r="N123" t="str">
        <f t="shared" si="4"/>
        <v>51-60</v>
      </c>
      <c r="O123">
        <f t="shared" si="5"/>
        <v>2019</v>
      </c>
    </row>
    <row r="124" spans="1:15" x14ac:dyDescent="0.25">
      <c r="A124">
        <v>123</v>
      </c>
      <c r="B124" t="s">
        <v>44</v>
      </c>
      <c r="C124" t="s">
        <v>54</v>
      </c>
      <c r="D124" t="str">
        <f t="shared" si="3"/>
        <v>Sophia Smith</v>
      </c>
      <c r="E124" t="s">
        <v>14</v>
      </c>
      <c r="F124">
        <v>32</v>
      </c>
      <c r="G124" t="s">
        <v>15</v>
      </c>
      <c r="H124" t="s">
        <v>16</v>
      </c>
      <c r="I124" s="1">
        <v>45086</v>
      </c>
      <c r="J124" s="2">
        <v>27457</v>
      </c>
      <c r="K124">
        <v>1</v>
      </c>
      <c r="L124">
        <v>2</v>
      </c>
      <c r="M124" t="s">
        <v>17</v>
      </c>
      <c r="N124" t="str">
        <f t="shared" si="4"/>
        <v>31-40</v>
      </c>
      <c r="O124">
        <f t="shared" si="5"/>
        <v>2023</v>
      </c>
    </row>
    <row r="125" spans="1:15" x14ac:dyDescent="0.25">
      <c r="A125">
        <v>124</v>
      </c>
      <c r="B125" t="s">
        <v>71</v>
      </c>
      <c r="C125" t="s">
        <v>54</v>
      </c>
      <c r="D125" t="str">
        <f t="shared" si="3"/>
        <v>Joseph Smith</v>
      </c>
      <c r="E125" t="s">
        <v>28</v>
      </c>
      <c r="F125">
        <v>60</v>
      </c>
      <c r="G125" t="s">
        <v>41</v>
      </c>
      <c r="H125" t="s">
        <v>16</v>
      </c>
      <c r="I125" s="1">
        <v>44107</v>
      </c>
      <c r="J125" s="2">
        <v>38506</v>
      </c>
      <c r="K125">
        <v>2</v>
      </c>
      <c r="L125">
        <v>5</v>
      </c>
      <c r="M125" t="s">
        <v>26</v>
      </c>
      <c r="N125" t="str">
        <f t="shared" si="4"/>
        <v>51-60</v>
      </c>
      <c r="O125">
        <f t="shared" si="5"/>
        <v>2020</v>
      </c>
    </row>
    <row r="126" spans="1:15" x14ac:dyDescent="0.25">
      <c r="A126">
        <v>125</v>
      </c>
      <c r="B126" t="s">
        <v>42</v>
      </c>
      <c r="C126" t="s">
        <v>52</v>
      </c>
      <c r="D126" t="str">
        <f t="shared" si="3"/>
        <v>William Allen</v>
      </c>
      <c r="E126" t="s">
        <v>28</v>
      </c>
      <c r="F126">
        <v>59</v>
      </c>
      <c r="G126" t="s">
        <v>15</v>
      </c>
      <c r="H126" t="s">
        <v>25</v>
      </c>
      <c r="I126" s="1">
        <v>45060</v>
      </c>
      <c r="J126" s="2">
        <v>37934</v>
      </c>
      <c r="K126">
        <v>4</v>
      </c>
      <c r="L126">
        <v>2</v>
      </c>
      <c r="M126" t="s">
        <v>17</v>
      </c>
      <c r="N126" t="str">
        <f t="shared" si="4"/>
        <v>51-60</v>
      </c>
      <c r="O126">
        <f t="shared" si="5"/>
        <v>2023</v>
      </c>
    </row>
    <row r="127" spans="1:15" x14ac:dyDescent="0.25">
      <c r="A127">
        <v>126</v>
      </c>
      <c r="B127" t="s">
        <v>12</v>
      </c>
      <c r="C127" t="s">
        <v>56</v>
      </c>
      <c r="D127" t="str">
        <f t="shared" si="3"/>
        <v>Susan Garcia</v>
      </c>
      <c r="E127" t="s">
        <v>14</v>
      </c>
      <c r="F127">
        <v>48</v>
      </c>
      <c r="G127" t="s">
        <v>41</v>
      </c>
      <c r="H127" t="s">
        <v>34</v>
      </c>
      <c r="I127" s="1">
        <v>44373</v>
      </c>
      <c r="J127" s="2">
        <v>26353</v>
      </c>
      <c r="K127">
        <v>1</v>
      </c>
      <c r="L127">
        <v>4</v>
      </c>
      <c r="M127" t="s">
        <v>17</v>
      </c>
      <c r="N127" t="str">
        <f t="shared" si="4"/>
        <v>41-50</v>
      </c>
      <c r="O127">
        <f t="shared" si="5"/>
        <v>2021</v>
      </c>
    </row>
    <row r="128" spans="1:15" x14ac:dyDescent="0.25">
      <c r="A128">
        <v>127</v>
      </c>
      <c r="B128" t="s">
        <v>73</v>
      </c>
      <c r="C128" t="s">
        <v>19</v>
      </c>
      <c r="D128" t="str">
        <f t="shared" si="3"/>
        <v>Daniel Lewis</v>
      </c>
      <c r="E128" t="s">
        <v>28</v>
      </c>
      <c r="F128">
        <v>34</v>
      </c>
      <c r="G128" t="s">
        <v>55</v>
      </c>
      <c r="H128" t="s">
        <v>16</v>
      </c>
      <c r="I128" s="1">
        <v>43564</v>
      </c>
      <c r="J128" s="2">
        <v>64080</v>
      </c>
      <c r="K128">
        <v>4</v>
      </c>
      <c r="L128">
        <v>6</v>
      </c>
      <c r="M128" t="s">
        <v>17</v>
      </c>
      <c r="N128" t="str">
        <f t="shared" si="4"/>
        <v>31-40</v>
      </c>
      <c r="O128">
        <f t="shared" si="5"/>
        <v>2019</v>
      </c>
    </row>
    <row r="129" spans="1:15" x14ac:dyDescent="0.25">
      <c r="A129">
        <v>128</v>
      </c>
      <c r="B129" t="s">
        <v>65</v>
      </c>
      <c r="C129" t="s">
        <v>43</v>
      </c>
      <c r="D129" t="str">
        <f t="shared" si="3"/>
        <v>Charles Jackson</v>
      </c>
      <c r="E129" t="s">
        <v>28</v>
      </c>
      <c r="F129">
        <v>59</v>
      </c>
      <c r="G129" t="s">
        <v>20</v>
      </c>
      <c r="H129" t="s">
        <v>25</v>
      </c>
      <c r="I129" s="1">
        <v>44480</v>
      </c>
      <c r="J129" s="2">
        <v>67370</v>
      </c>
      <c r="K129">
        <v>1</v>
      </c>
      <c r="L129">
        <v>4</v>
      </c>
      <c r="M129" t="s">
        <v>26</v>
      </c>
      <c r="N129" t="str">
        <f t="shared" si="4"/>
        <v>51-60</v>
      </c>
      <c r="O129">
        <f t="shared" si="5"/>
        <v>2021</v>
      </c>
    </row>
    <row r="130" spans="1:15" x14ac:dyDescent="0.25">
      <c r="A130">
        <v>129</v>
      </c>
      <c r="B130" t="s">
        <v>51</v>
      </c>
      <c r="C130" t="s">
        <v>30</v>
      </c>
      <c r="D130" t="str">
        <f t="shared" ref="D130:D193" si="6">CONCATENATE(B130," ",C130)</f>
        <v>Paul Lee</v>
      </c>
      <c r="E130" t="s">
        <v>28</v>
      </c>
      <c r="F130">
        <v>34</v>
      </c>
      <c r="G130" t="s">
        <v>39</v>
      </c>
      <c r="H130" t="s">
        <v>21</v>
      </c>
      <c r="I130" s="1">
        <v>44079</v>
      </c>
      <c r="J130" s="2">
        <v>86069</v>
      </c>
      <c r="K130">
        <v>1</v>
      </c>
      <c r="L130">
        <v>5</v>
      </c>
      <c r="M130" t="s">
        <v>17</v>
      </c>
      <c r="N130" t="str">
        <f t="shared" ref="N130:N193" si="7">IF(AND(F130&gt;=20,F130&lt;=30),"20-30",IF(AND(F130&gt;=31,F130&lt;=40),"31-40",IF(AND(F130&gt;=41,F130&lt;=50),"41-50",IF(AND(F130&gt;=51,F130&lt;=60),"51-60"))))</f>
        <v>31-40</v>
      </c>
      <c r="O130">
        <f t="shared" ref="O130:O193" si="8">YEAR(I130)</f>
        <v>2020</v>
      </c>
    </row>
    <row r="131" spans="1:15" x14ac:dyDescent="0.25">
      <c r="A131">
        <v>130</v>
      </c>
      <c r="B131" t="s">
        <v>71</v>
      </c>
      <c r="C131" t="s">
        <v>35</v>
      </c>
      <c r="D131" t="str">
        <f t="shared" si="6"/>
        <v>Joseph Thomas</v>
      </c>
      <c r="E131" t="s">
        <v>28</v>
      </c>
      <c r="F131">
        <v>35</v>
      </c>
      <c r="G131" t="s">
        <v>41</v>
      </c>
      <c r="H131" t="s">
        <v>16</v>
      </c>
      <c r="I131" s="1">
        <v>40655</v>
      </c>
      <c r="J131" s="2">
        <v>35806</v>
      </c>
      <c r="K131">
        <v>3</v>
      </c>
      <c r="L131">
        <v>14</v>
      </c>
      <c r="M131" t="s">
        <v>26</v>
      </c>
      <c r="N131" t="str">
        <f t="shared" si="7"/>
        <v>31-40</v>
      </c>
      <c r="O131">
        <f t="shared" si="8"/>
        <v>2011</v>
      </c>
    </row>
    <row r="132" spans="1:15" x14ac:dyDescent="0.25">
      <c r="A132">
        <v>131</v>
      </c>
      <c r="B132" t="s">
        <v>73</v>
      </c>
      <c r="C132" t="s">
        <v>56</v>
      </c>
      <c r="D132" t="str">
        <f t="shared" si="6"/>
        <v>Daniel Garcia</v>
      </c>
      <c r="E132" t="s">
        <v>28</v>
      </c>
      <c r="F132">
        <v>45</v>
      </c>
      <c r="G132" t="s">
        <v>24</v>
      </c>
      <c r="H132" t="s">
        <v>31</v>
      </c>
      <c r="I132" s="1">
        <v>42455</v>
      </c>
      <c r="J132" s="2">
        <v>65693</v>
      </c>
      <c r="K132">
        <v>1</v>
      </c>
      <c r="L132">
        <v>9</v>
      </c>
      <c r="M132" t="s">
        <v>26</v>
      </c>
      <c r="N132" t="str">
        <f t="shared" si="7"/>
        <v>41-50</v>
      </c>
      <c r="O132">
        <f t="shared" si="8"/>
        <v>2016</v>
      </c>
    </row>
    <row r="133" spans="1:15" x14ac:dyDescent="0.25">
      <c r="A133">
        <v>132</v>
      </c>
      <c r="B133" t="s">
        <v>32</v>
      </c>
      <c r="C133" t="s">
        <v>46</v>
      </c>
      <c r="D133" t="str">
        <f t="shared" si="6"/>
        <v>Karen Walker</v>
      </c>
      <c r="E133" t="s">
        <v>14</v>
      </c>
      <c r="F133">
        <v>29</v>
      </c>
      <c r="G133" t="s">
        <v>20</v>
      </c>
      <c r="H133" t="s">
        <v>31</v>
      </c>
      <c r="I133" s="1">
        <v>42073</v>
      </c>
      <c r="J133" s="2">
        <v>83727</v>
      </c>
      <c r="K133">
        <v>1</v>
      </c>
      <c r="L133">
        <v>10</v>
      </c>
      <c r="M133" t="s">
        <v>17</v>
      </c>
      <c r="N133" t="str">
        <f t="shared" si="7"/>
        <v>20-30</v>
      </c>
      <c r="O133">
        <f t="shared" si="8"/>
        <v>2015</v>
      </c>
    </row>
    <row r="134" spans="1:15" x14ac:dyDescent="0.25">
      <c r="A134">
        <v>133</v>
      </c>
      <c r="B134" t="s">
        <v>53</v>
      </c>
      <c r="C134" t="s">
        <v>33</v>
      </c>
      <c r="D134" t="str">
        <f t="shared" si="6"/>
        <v>Linda Hall</v>
      </c>
      <c r="E134" t="s">
        <v>14</v>
      </c>
      <c r="F134">
        <v>26</v>
      </c>
      <c r="G134" t="s">
        <v>24</v>
      </c>
      <c r="H134" t="s">
        <v>25</v>
      </c>
      <c r="I134" s="1">
        <v>43048</v>
      </c>
      <c r="J134" s="2">
        <v>88032</v>
      </c>
      <c r="K134">
        <v>4</v>
      </c>
      <c r="L134">
        <v>8</v>
      </c>
      <c r="M134" t="s">
        <v>17</v>
      </c>
      <c r="N134" t="str">
        <f t="shared" si="7"/>
        <v>20-30</v>
      </c>
      <c r="O134">
        <f t="shared" si="8"/>
        <v>2017</v>
      </c>
    </row>
    <row r="135" spans="1:15" x14ac:dyDescent="0.25">
      <c r="A135">
        <v>134</v>
      </c>
      <c r="B135" t="s">
        <v>29</v>
      </c>
      <c r="C135" t="s">
        <v>19</v>
      </c>
      <c r="D135" t="str">
        <f t="shared" si="6"/>
        <v>Jennifer Lewis</v>
      </c>
      <c r="E135" t="s">
        <v>14</v>
      </c>
      <c r="F135">
        <v>29</v>
      </c>
      <c r="G135" t="s">
        <v>41</v>
      </c>
      <c r="H135" t="s">
        <v>31</v>
      </c>
      <c r="I135" s="1">
        <v>41289</v>
      </c>
      <c r="J135" s="2">
        <v>52938</v>
      </c>
      <c r="K135">
        <v>4</v>
      </c>
      <c r="L135">
        <v>13</v>
      </c>
      <c r="M135" t="s">
        <v>26</v>
      </c>
      <c r="N135" t="str">
        <f t="shared" si="7"/>
        <v>20-30</v>
      </c>
      <c r="O135">
        <f t="shared" si="8"/>
        <v>2013</v>
      </c>
    </row>
    <row r="136" spans="1:15" x14ac:dyDescent="0.25">
      <c r="A136">
        <v>135</v>
      </c>
      <c r="B136" t="s">
        <v>51</v>
      </c>
      <c r="C136" t="s">
        <v>66</v>
      </c>
      <c r="D136" t="str">
        <f t="shared" si="6"/>
        <v>Paul Robinson</v>
      </c>
      <c r="E136" t="s">
        <v>28</v>
      </c>
      <c r="F136">
        <v>44</v>
      </c>
      <c r="G136" t="s">
        <v>15</v>
      </c>
      <c r="H136" t="s">
        <v>25</v>
      </c>
      <c r="I136" s="1">
        <v>45354</v>
      </c>
      <c r="J136" s="2">
        <v>75119</v>
      </c>
      <c r="K136">
        <v>1</v>
      </c>
      <c r="L136">
        <v>1</v>
      </c>
      <c r="M136" t="s">
        <v>26</v>
      </c>
      <c r="N136" t="str">
        <f t="shared" si="7"/>
        <v>41-50</v>
      </c>
      <c r="O136">
        <f t="shared" si="8"/>
        <v>2024</v>
      </c>
    </row>
    <row r="137" spans="1:15" x14ac:dyDescent="0.25">
      <c r="A137">
        <v>136</v>
      </c>
      <c r="B137" t="s">
        <v>69</v>
      </c>
      <c r="C137" t="s">
        <v>33</v>
      </c>
      <c r="D137" t="str">
        <f t="shared" si="6"/>
        <v>Anna Hall</v>
      </c>
      <c r="E137" t="s">
        <v>14</v>
      </c>
      <c r="F137">
        <v>51</v>
      </c>
      <c r="G137" t="s">
        <v>41</v>
      </c>
      <c r="H137" t="s">
        <v>31</v>
      </c>
      <c r="I137" s="1">
        <v>40755</v>
      </c>
      <c r="J137" s="2">
        <v>86699</v>
      </c>
      <c r="K137">
        <v>5</v>
      </c>
      <c r="L137">
        <v>14</v>
      </c>
      <c r="M137" t="s">
        <v>26</v>
      </c>
      <c r="N137" t="str">
        <f t="shared" si="7"/>
        <v>51-60</v>
      </c>
      <c r="O137">
        <f t="shared" si="8"/>
        <v>2011</v>
      </c>
    </row>
    <row r="138" spans="1:15" x14ac:dyDescent="0.25">
      <c r="A138">
        <v>137</v>
      </c>
      <c r="B138" t="s">
        <v>32</v>
      </c>
      <c r="C138" t="s">
        <v>54</v>
      </c>
      <c r="D138" t="str">
        <f t="shared" si="6"/>
        <v>Karen Smith</v>
      </c>
      <c r="E138" t="s">
        <v>14</v>
      </c>
      <c r="F138">
        <v>31</v>
      </c>
      <c r="G138" t="s">
        <v>41</v>
      </c>
      <c r="H138" t="s">
        <v>34</v>
      </c>
      <c r="I138" s="1">
        <v>42496</v>
      </c>
      <c r="J138" s="2">
        <v>49465</v>
      </c>
      <c r="K138">
        <v>2</v>
      </c>
      <c r="L138">
        <v>9</v>
      </c>
      <c r="M138" t="s">
        <v>17</v>
      </c>
      <c r="N138" t="str">
        <f t="shared" si="7"/>
        <v>31-40</v>
      </c>
      <c r="O138">
        <f t="shared" si="8"/>
        <v>2016</v>
      </c>
    </row>
    <row r="139" spans="1:15" x14ac:dyDescent="0.25">
      <c r="A139">
        <v>138</v>
      </c>
      <c r="B139" t="s">
        <v>35</v>
      </c>
      <c r="C139" t="s">
        <v>48</v>
      </c>
      <c r="D139" t="str">
        <f t="shared" si="6"/>
        <v>Thomas Thompson</v>
      </c>
      <c r="E139" t="s">
        <v>28</v>
      </c>
      <c r="F139">
        <v>48</v>
      </c>
      <c r="G139" t="s">
        <v>15</v>
      </c>
      <c r="H139" t="s">
        <v>31</v>
      </c>
      <c r="I139" s="1">
        <v>45448</v>
      </c>
      <c r="J139" s="2">
        <v>44220</v>
      </c>
      <c r="K139">
        <v>1</v>
      </c>
      <c r="L139">
        <v>1</v>
      </c>
      <c r="M139" t="s">
        <v>17</v>
      </c>
      <c r="N139" t="str">
        <f t="shared" si="7"/>
        <v>41-50</v>
      </c>
      <c r="O139">
        <f t="shared" si="8"/>
        <v>2024</v>
      </c>
    </row>
    <row r="140" spans="1:15" x14ac:dyDescent="0.25">
      <c r="A140">
        <v>139</v>
      </c>
      <c r="B140" t="s">
        <v>57</v>
      </c>
      <c r="C140" t="s">
        <v>30</v>
      </c>
      <c r="D140" t="str">
        <f t="shared" si="6"/>
        <v>Patricia Lee</v>
      </c>
      <c r="E140" t="s">
        <v>14</v>
      </c>
      <c r="F140">
        <v>54</v>
      </c>
      <c r="G140" t="s">
        <v>24</v>
      </c>
      <c r="H140" t="s">
        <v>25</v>
      </c>
      <c r="I140" s="1">
        <v>41662</v>
      </c>
      <c r="J140" s="2">
        <v>35206</v>
      </c>
      <c r="K140">
        <v>3</v>
      </c>
      <c r="L140">
        <v>12</v>
      </c>
      <c r="M140" t="s">
        <v>26</v>
      </c>
      <c r="N140" t="str">
        <f t="shared" si="7"/>
        <v>51-60</v>
      </c>
      <c r="O140">
        <f t="shared" si="8"/>
        <v>2014</v>
      </c>
    </row>
    <row r="141" spans="1:15" x14ac:dyDescent="0.25">
      <c r="A141">
        <v>140</v>
      </c>
      <c r="B141" t="s">
        <v>71</v>
      </c>
      <c r="C141" t="s">
        <v>23</v>
      </c>
      <c r="D141" t="str">
        <f t="shared" si="6"/>
        <v>Joseph Johnson</v>
      </c>
      <c r="E141" t="s">
        <v>28</v>
      </c>
      <c r="F141">
        <v>27</v>
      </c>
      <c r="G141" t="s">
        <v>15</v>
      </c>
      <c r="H141" t="s">
        <v>25</v>
      </c>
      <c r="I141" s="1">
        <v>41248</v>
      </c>
      <c r="J141" s="2">
        <v>90399</v>
      </c>
      <c r="K141">
        <v>5</v>
      </c>
      <c r="L141">
        <v>13</v>
      </c>
      <c r="M141" t="s">
        <v>17</v>
      </c>
      <c r="N141" t="str">
        <f t="shared" si="7"/>
        <v>20-30</v>
      </c>
      <c r="O141">
        <f t="shared" si="8"/>
        <v>2012</v>
      </c>
    </row>
    <row r="142" spans="1:15" x14ac:dyDescent="0.25">
      <c r="A142">
        <v>141</v>
      </c>
      <c r="B142" t="s">
        <v>18</v>
      </c>
      <c r="C142" t="s">
        <v>13</v>
      </c>
      <c r="D142" t="str">
        <f t="shared" si="6"/>
        <v>Sarah Martin</v>
      </c>
      <c r="E142" t="s">
        <v>14</v>
      </c>
      <c r="F142">
        <v>39</v>
      </c>
      <c r="G142" t="s">
        <v>24</v>
      </c>
      <c r="H142" t="s">
        <v>31</v>
      </c>
      <c r="I142" s="1">
        <v>45282</v>
      </c>
      <c r="J142" s="2">
        <v>90789</v>
      </c>
      <c r="K142">
        <v>2</v>
      </c>
      <c r="L142">
        <v>2</v>
      </c>
      <c r="M142" t="s">
        <v>17</v>
      </c>
      <c r="N142" t="str">
        <f t="shared" si="7"/>
        <v>31-40</v>
      </c>
      <c r="O142">
        <f t="shared" si="8"/>
        <v>2023</v>
      </c>
    </row>
    <row r="143" spans="1:15" x14ac:dyDescent="0.25">
      <c r="A143">
        <v>142</v>
      </c>
      <c r="B143" t="s">
        <v>61</v>
      </c>
      <c r="C143" t="s">
        <v>46</v>
      </c>
      <c r="D143" t="str">
        <f t="shared" si="6"/>
        <v>Christopher Walker</v>
      </c>
      <c r="E143" t="s">
        <v>28</v>
      </c>
      <c r="F143">
        <v>35</v>
      </c>
      <c r="G143" t="s">
        <v>20</v>
      </c>
      <c r="H143" t="s">
        <v>31</v>
      </c>
      <c r="I143" s="1">
        <v>40854</v>
      </c>
      <c r="J143" s="2">
        <v>58070</v>
      </c>
      <c r="K143">
        <v>3</v>
      </c>
      <c r="L143">
        <v>14</v>
      </c>
      <c r="M143" t="s">
        <v>17</v>
      </c>
      <c r="N143" t="str">
        <f t="shared" si="7"/>
        <v>31-40</v>
      </c>
      <c r="O143">
        <f t="shared" si="8"/>
        <v>2011</v>
      </c>
    </row>
    <row r="144" spans="1:15" x14ac:dyDescent="0.25">
      <c r="A144">
        <v>143</v>
      </c>
      <c r="B144" t="s">
        <v>72</v>
      </c>
      <c r="C144" t="s">
        <v>58</v>
      </c>
      <c r="D144" t="str">
        <f t="shared" si="6"/>
        <v>Emma Clark</v>
      </c>
      <c r="E144" t="s">
        <v>14</v>
      </c>
      <c r="F144">
        <v>29</v>
      </c>
      <c r="G144" t="s">
        <v>55</v>
      </c>
      <c r="H144" t="s">
        <v>16</v>
      </c>
      <c r="I144" s="1">
        <v>40322</v>
      </c>
      <c r="J144" s="2">
        <v>39230</v>
      </c>
      <c r="K144">
        <v>5</v>
      </c>
      <c r="L144">
        <v>15</v>
      </c>
      <c r="M144" t="s">
        <v>26</v>
      </c>
      <c r="N144" t="str">
        <f t="shared" si="7"/>
        <v>20-30</v>
      </c>
      <c r="O144">
        <f t="shared" si="8"/>
        <v>2010</v>
      </c>
    </row>
    <row r="145" spans="1:15" x14ac:dyDescent="0.25">
      <c r="A145">
        <v>144</v>
      </c>
      <c r="B145" t="s">
        <v>68</v>
      </c>
      <c r="C145" t="s">
        <v>46</v>
      </c>
      <c r="D145" t="str">
        <f t="shared" si="6"/>
        <v>Mark Walker</v>
      </c>
      <c r="E145" t="s">
        <v>28</v>
      </c>
      <c r="F145">
        <v>55</v>
      </c>
      <c r="G145" t="s">
        <v>24</v>
      </c>
      <c r="H145" t="s">
        <v>31</v>
      </c>
      <c r="I145" s="1">
        <v>42001</v>
      </c>
      <c r="J145" s="2">
        <v>76768</v>
      </c>
      <c r="K145">
        <v>1</v>
      </c>
      <c r="L145">
        <v>11</v>
      </c>
      <c r="M145" t="s">
        <v>17</v>
      </c>
      <c r="N145" t="str">
        <f t="shared" si="7"/>
        <v>51-60</v>
      </c>
      <c r="O145">
        <f t="shared" si="8"/>
        <v>2014</v>
      </c>
    </row>
    <row r="146" spans="1:15" x14ac:dyDescent="0.25">
      <c r="A146">
        <v>145</v>
      </c>
      <c r="B146" t="s">
        <v>18</v>
      </c>
      <c r="C146" t="s">
        <v>46</v>
      </c>
      <c r="D146" t="str">
        <f t="shared" si="6"/>
        <v>Sarah Walker</v>
      </c>
      <c r="E146" t="s">
        <v>14</v>
      </c>
      <c r="F146">
        <v>30</v>
      </c>
      <c r="G146" t="s">
        <v>41</v>
      </c>
      <c r="H146" t="s">
        <v>21</v>
      </c>
      <c r="I146" s="1">
        <v>40253</v>
      </c>
      <c r="J146" s="2">
        <v>58565</v>
      </c>
      <c r="K146">
        <v>3</v>
      </c>
      <c r="L146">
        <v>15</v>
      </c>
      <c r="M146" t="s">
        <v>17</v>
      </c>
      <c r="N146" t="str">
        <f t="shared" si="7"/>
        <v>20-30</v>
      </c>
      <c r="O146">
        <f t="shared" si="8"/>
        <v>2010</v>
      </c>
    </row>
    <row r="147" spans="1:15" x14ac:dyDescent="0.25">
      <c r="A147">
        <v>146</v>
      </c>
      <c r="B147" t="s">
        <v>49</v>
      </c>
      <c r="C147" t="s">
        <v>45</v>
      </c>
      <c r="D147" t="str">
        <f t="shared" si="6"/>
        <v>Barbara White</v>
      </c>
      <c r="E147" t="s">
        <v>14</v>
      </c>
      <c r="F147">
        <v>56</v>
      </c>
      <c r="G147" t="s">
        <v>41</v>
      </c>
      <c r="H147" t="s">
        <v>34</v>
      </c>
      <c r="I147" s="1">
        <v>45287</v>
      </c>
      <c r="J147" s="2">
        <v>79281</v>
      </c>
      <c r="K147">
        <v>1</v>
      </c>
      <c r="L147">
        <v>2</v>
      </c>
      <c r="M147" t="s">
        <v>17</v>
      </c>
      <c r="N147" t="str">
        <f t="shared" si="7"/>
        <v>51-60</v>
      </c>
      <c r="O147">
        <f t="shared" si="8"/>
        <v>2023</v>
      </c>
    </row>
    <row r="148" spans="1:15" x14ac:dyDescent="0.25">
      <c r="A148">
        <v>147</v>
      </c>
      <c r="B148" t="s">
        <v>12</v>
      </c>
      <c r="C148" t="s">
        <v>37</v>
      </c>
      <c r="D148" t="str">
        <f t="shared" si="6"/>
        <v>Susan Taylor</v>
      </c>
      <c r="E148" t="s">
        <v>14</v>
      </c>
      <c r="F148">
        <v>55</v>
      </c>
      <c r="G148" t="s">
        <v>39</v>
      </c>
      <c r="H148" t="s">
        <v>21</v>
      </c>
      <c r="I148" s="1">
        <v>41619</v>
      </c>
      <c r="J148" s="2">
        <v>63899</v>
      </c>
      <c r="K148">
        <v>3</v>
      </c>
      <c r="L148">
        <v>12</v>
      </c>
      <c r="M148" t="s">
        <v>26</v>
      </c>
      <c r="N148" t="str">
        <f t="shared" si="7"/>
        <v>51-60</v>
      </c>
      <c r="O148">
        <f t="shared" si="8"/>
        <v>2013</v>
      </c>
    </row>
    <row r="149" spans="1:15" x14ac:dyDescent="0.25">
      <c r="A149">
        <v>148</v>
      </c>
      <c r="B149" t="s">
        <v>71</v>
      </c>
      <c r="C149" t="s">
        <v>52</v>
      </c>
      <c r="D149" t="str">
        <f t="shared" si="6"/>
        <v>Joseph Allen</v>
      </c>
      <c r="E149" t="s">
        <v>28</v>
      </c>
      <c r="F149">
        <v>56</v>
      </c>
      <c r="G149" t="s">
        <v>24</v>
      </c>
      <c r="H149" t="s">
        <v>25</v>
      </c>
      <c r="I149" s="1">
        <v>42868</v>
      </c>
      <c r="J149" s="2">
        <v>32400</v>
      </c>
      <c r="K149">
        <v>3</v>
      </c>
      <c r="L149">
        <v>8</v>
      </c>
      <c r="M149" t="s">
        <v>17</v>
      </c>
      <c r="N149" t="str">
        <f t="shared" si="7"/>
        <v>51-60</v>
      </c>
      <c r="O149">
        <f t="shared" si="8"/>
        <v>2017</v>
      </c>
    </row>
    <row r="150" spans="1:15" x14ac:dyDescent="0.25">
      <c r="A150">
        <v>149</v>
      </c>
      <c r="B150" t="s">
        <v>53</v>
      </c>
      <c r="C150" t="s">
        <v>64</v>
      </c>
      <c r="D150" t="str">
        <f t="shared" si="6"/>
        <v>Linda Anderson</v>
      </c>
      <c r="E150" t="s">
        <v>14</v>
      </c>
      <c r="F150">
        <v>25</v>
      </c>
      <c r="G150" t="s">
        <v>15</v>
      </c>
      <c r="H150" t="s">
        <v>16</v>
      </c>
      <c r="I150" s="1">
        <v>44172</v>
      </c>
      <c r="J150" s="2">
        <v>83505</v>
      </c>
      <c r="K150">
        <v>2</v>
      </c>
      <c r="L150">
        <v>5</v>
      </c>
      <c r="M150" t="s">
        <v>26</v>
      </c>
      <c r="N150" t="str">
        <f t="shared" si="7"/>
        <v>20-30</v>
      </c>
      <c r="O150">
        <f t="shared" si="8"/>
        <v>2020</v>
      </c>
    </row>
    <row r="151" spans="1:15" x14ac:dyDescent="0.25">
      <c r="A151">
        <v>150</v>
      </c>
      <c r="B151" t="s">
        <v>65</v>
      </c>
      <c r="C151" t="s">
        <v>64</v>
      </c>
      <c r="D151" t="str">
        <f t="shared" si="6"/>
        <v>Charles Anderson</v>
      </c>
      <c r="E151" t="s">
        <v>28</v>
      </c>
      <c r="F151">
        <v>27</v>
      </c>
      <c r="G151" t="s">
        <v>39</v>
      </c>
      <c r="H151" t="s">
        <v>21</v>
      </c>
      <c r="I151" s="1">
        <v>45047</v>
      </c>
      <c r="J151" s="2">
        <v>80861</v>
      </c>
      <c r="K151">
        <v>1</v>
      </c>
      <c r="L151">
        <v>2</v>
      </c>
      <c r="M151" t="s">
        <v>17</v>
      </c>
      <c r="N151" t="str">
        <f t="shared" si="7"/>
        <v>20-30</v>
      </c>
      <c r="O151">
        <f t="shared" si="8"/>
        <v>2023</v>
      </c>
    </row>
    <row r="152" spans="1:15" x14ac:dyDescent="0.25">
      <c r="A152">
        <v>151</v>
      </c>
      <c r="B152" t="s">
        <v>12</v>
      </c>
      <c r="C152" t="s">
        <v>52</v>
      </c>
      <c r="D152" t="str">
        <f t="shared" si="6"/>
        <v>Susan Allen</v>
      </c>
      <c r="E152" t="s">
        <v>14</v>
      </c>
      <c r="F152">
        <v>40</v>
      </c>
      <c r="G152" t="s">
        <v>15</v>
      </c>
      <c r="H152" t="s">
        <v>25</v>
      </c>
      <c r="I152" s="1">
        <v>42112</v>
      </c>
      <c r="J152" s="2">
        <v>62430</v>
      </c>
      <c r="K152">
        <v>5</v>
      </c>
      <c r="L152">
        <v>10</v>
      </c>
      <c r="M152" t="s">
        <v>26</v>
      </c>
      <c r="N152" t="str">
        <f t="shared" si="7"/>
        <v>31-40</v>
      </c>
      <c r="O152">
        <f t="shared" si="8"/>
        <v>2015</v>
      </c>
    </row>
    <row r="153" spans="1:15" x14ac:dyDescent="0.25">
      <c r="A153">
        <v>152</v>
      </c>
      <c r="B153" t="s">
        <v>40</v>
      </c>
      <c r="C153" t="s">
        <v>33</v>
      </c>
      <c r="D153" t="str">
        <f t="shared" si="6"/>
        <v>John Hall</v>
      </c>
      <c r="E153" t="s">
        <v>28</v>
      </c>
      <c r="F153">
        <v>46</v>
      </c>
      <c r="G153" t="s">
        <v>15</v>
      </c>
      <c r="H153" t="s">
        <v>34</v>
      </c>
      <c r="I153" s="1">
        <v>42057</v>
      </c>
      <c r="J153" s="2">
        <v>27072</v>
      </c>
      <c r="K153">
        <v>2</v>
      </c>
      <c r="L153">
        <v>10</v>
      </c>
      <c r="M153" t="s">
        <v>26</v>
      </c>
      <c r="N153" t="str">
        <f t="shared" si="7"/>
        <v>41-50</v>
      </c>
      <c r="O153">
        <f t="shared" si="8"/>
        <v>2015</v>
      </c>
    </row>
    <row r="154" spans="1:15" x14ac:dyDescent="0.25">
      <c r="A154">
        <v>153</v>
      </c>
      <c r="B154" t="s">
        <v>32</v>
      </c>
      <c r="C154" t="s">
        <v>59</v>
      </c>
      <c r="D154" t="str">
        <f t="shared" si="6"/>
        <v>Karen Martinez</v>
      </c>
      <c r="E154" t="s">
        <v>14</v>
      </c>
      <c r="F154">
        <v>37</v>
      </c>
      <c r="G154" t="s">
        <v>20</v>
      </c>
      <c r="H154" t="s">
        <v>21</v>
      </c>
      <c r="I154" s="1">
        <v>41450</v>
      </c>
      <c r="J154" s="2">
        <v>49871</v>
      </c>
      <c r="K154">
        <v>1</v>
      </c>
      <c r="L154">
        <v>12</v>
      </c>
      <c r="M154" t="s">
        <v>26</v>
      </c>
      <c r="N154" t="str">
        <f t="shared" si="7"/>
        <v>31-40</v>
      </c>
      <c r="O154">
        <f t="shared" si="8"/>
        <v>2013</v>
      </c>
    </row>
    <row r="155" spans="1:15" x14ac:dyDescent="0.25">
      <c r="A155">
        <v>154</v>
      </c>
      <c r="B155" t="s">
        <v>68</v>
      </c>
      <c r="C155" t="s">
        <v>64</v>
      </c>
      <c r="D155" t="str">
        <f t="shared" si="6"/>
        <v>Mark Anderson</v>
      </c>
      <c r="E155" t="s">
        <v>28</v>
      </c>
      <c r="F155">
        <v>24</v>
      </c>
      <c r="G155" t="s">
        <v>24</v>
      </c>
      <c r="H155" t="s">
        <v>16</v>
      </c>
      <c r="I155" s="1">
        <v>41101</v>
      </c>
      <c r="J155" s="2">
        <v>71224</v>
      </c>
      <c r="K155">
        <v>4</v>
      </c>
      <c r="L155">
        <v>13</v>
      </c>
      <c r="M155" t="s">
        <v>26</v>
      </c>
      <c r="N155" t="str">
        <f t="shared" si="7"/>
        <v>20-30</v>
      </c>
      <c r="O155">
        <f t="shared" si="8"/>
        <v>2012</v>
      </c>
    </row>
    <row r="156" spans="1:15" x14ac:dyDescent="0.25">
      <c r="A156">
        <v>155</v>
      </c>
      <c r="B156" t="s">
        <v>63</v>
      </c>
      <c r="C156" t="s">
        <v>48</v>
      </c>
      <c r="D156" t="str">
        <f t="shared" si="6"/>
        <v>Steven Thompson</v>
      </c>
      <c r="E156" t="s">
        <v>28</v>
      </c>
      <c r="F156">
        <v>57</v>
      </c>
      <c r="G156" t="s">
        <v>24</v>
      </c>
      <c r="H156" t="s">
        <v>34</v>
      </c>
      <c r="I156" s="1">
        <v>43817</v>
      </c>
      <c r="J156" s="2">
        <v>32306</v>
      </c>
      <c r="K156">
        <v>4</v>
      </c>
      <c r="L156">
        <v>6</v>
      </c>
      <c r="M156" t="s">
        <v>17</v>
      </c>
      <c r="N156" t="str">
        <f t="shared" si="7"/>
        <v>51-60</v>
      </c>
      <c r="O156">
        <f t="shared" si="8"/>
        <v>2019</v>
      </c>
    </row>
    <row r="157" spans="1:15" x14ac:dyDescent="0.25">
      <c r="A157">
        <v>156</v>
      </c>
      <c r="B157" t="s">
        <v>69</v>
      </c>
      <c r="C157" t="s">
        <v>45</v>
      </c>
      <c r="D157" t="str">
        <f t="shared" si="6"/>
        <v>Anna White</v>
      </c>
      <c r="E157" t="s">
        <v>14</v>
      </c>
      <c r="F157">
        <v>27</v>
      </c>
      <c r="G157" t="s">
        <v>41</v>
      </c>
      <c r="H157" t="s">
        <v>31</v>
      </c>
      <c r="I157" s="1">
        <v>44316</v>
      </c>
      <c r="J157" s="2">
        <v>88763</v>
      </c>
      <c r="K157">
        <v>4</v>
      </c>
      <c r="L157">
        <v>4</v>
      </c>
      <c r="M157" t="s">
        <v>26</v>
      </c>
      <c r="N157" t="str">
        <f t="shared" si="7"/>
        <v>20-30</v>
      </c>
      <c r="O157">
        <f t="shared" si="8"/>
        <v>2021</v>
      </c>
    </row>
    <row r="158" spans="1:15" x14ac:dyDescent="0.25">
      <c r="A158">
        <v>157</v>
      </c>
      <c r="B158" t="s">
        <v>75</v>
      </c>
      <c r="C158" t="s">
        <v>58</v>
      </c>
      <c r="D158" t="str">
        <f t="shared" si="6"/>
        <v>Emily Clark</v>
      </c>
      <c r="E158" t="s">
        <v>14</v>
      </c>
      <c r="F158">
        <v>34</v>
      </c>
      <c r="G158" t="s">
        <v>39</v>
      </c>
      <c r="H158" t="s">
        <v>16</v>
      </c>
      <c r="I158" s="1">
        <v>43269</v>
      </c>
      <c r="J158" s="2">
        <v>32962</v>
      </c>
      <c r="K158">
        <v>2</v>
      </c>
      <c r="L158">
        <v>7</v>
      </c>
      <c r="M158" t="s">
        <v>26</v>
      </c>
      <c r="N158" t="str">
        <f t="shared" si="7"/>
        <v>31-40</v>
      </c>
      <c r="O158">
        <f t="shared" si="8"/>
        <v>2018</v>
      </c>
    </row>
    <row r="159" spans="1:15" x14ac:dyDescent="0.25">
      <c r="A159">
        <v>158</v>
      </c>
      <c r="B159" t="s">
        <v>22</v>
      </c>
      <c r="C159" t="s">
        <v>70</v>
      </c>
      <c r="D159" t="str">
        <f t="shared" si="6"/>
        <v>Olivia Harris</v>
      </c>
      <c r="E159" t="s">
        <v>14</v>
      </c>
      <c r="F159">
        <v>34</v>
      </c>
      <c r="G159" t="s">
        <v>55</v>
      </c>
      <c r="H159" t="s">
        <v>31</v>
      </c>
      <c r="I159" s="1">
        <v>41961</v>
      </c>
      <c r="J159" s="2">
        <v>25456</v>
      </c>
      <c r="K159">
        <v>4</v>
      </c>
      <c r="L159">
        <v>11</v>
      </c>
      <c r="M159" t="s">
        <v>26</v>
      </c>
      <c r="N159" t="str">
        <f t="shared" si="7"/>
        <v>31-40</v>
      </c>
      <c r="O159">
        <f t="shared" si="8"/>
        <v>2014</v>
      </c>
    </row>
    <row r="160" spans="1:15" x14ac:dyDescent="0.25">
      <c r="A160">
        <v>159</v>
      </c>
      <c r="B160" t="s">
        <v>32</v>
      </c>
      <c r="C160" t="s">
        <v>66</v>
      </c>
      <c r="D160" t="str">
        <f t="shared" si="6"/>
        <v>Karen Robinson</v>
      </c>
      <c r="E160" t="s">
        <v>14</v>
      </c>
      <c r="F160">
        <v>41</v>
      </c>
      <c r="G160" t="s">
        <v>15</v>
      </c>
      <c r="H160" t="s">
        <v>21</v>
      </c>
      <c r="I160" s="1">
        <v>44215</v>
      </c>
      <c r="J160" s="2">
        <v>27798</v>
      </c>
      <c r="K160">
        <v>3</v>
      </c>
      <c r="L160">
        <v>5</v>
      </c>
      <c r="M160" t="s">
        <v>26</v>
      </c>
      <c r="N160" t="str">
        <f t="shared" si="7"/>
        <v>41-50</v>
      </c>
      <c r="O160">
        <f t="shared" si="8"/>
        <v>2021</v>
      </c>
    </row>
    <row r="161" spans="1:15" x14ac:dyDescent="0.25">
      <c r="A161">
        <v>160</v>
      </c>
      <c r="B161" t="s">
        <v>51</v>
      </c>
      <c r="C161" t="s">
        <v>19</v>
      </c>
      <c r="D161" t="str">
        <f t="shared" si="6"/>
        <v>Paul Lewis</v>
      </c>
      <c r="E161" t="s">
        <v>28</v>
      </c>
      <c r="F161">
        <v>45</v>
      </c>
      <c r="G161" t="s">
        <v>55</v>
      </c>
      <c r="H161" t="s">
        <v>34</v>
      </c>
      <c r="I161" s="1">
        <v>40984</v>
      </c>
      <c r="J161" s="2">
        <v>50914</v>
      </c>
      <c r="K161">
        <v>4</v>
      </c>
      <c r="L161">
        <v>13</v>
      </c>
      <c r="M161" t="s">
        <v>26</v>
      </c>
      <c r="N161" t="str">
        <f t="shared" si="7"/>
        <v>41-50</v>
      </c>
      <c r="O161">
        <f t="shared" si="8"/>
        <v>2012</v>
      </c>
    </row>
    <row r="162" spans="1:15" x14ac:dyDescent="0.25">
      <c r="A162">
        <v>161</v>
      </c>
      <c r="B162" t="s">
        <v>57</v>
      </c>
      <c r="C162" t="s">
        <v>33</v>
      </c>
      <c r="D162" t="str">
        <f t="shared" si="6"/>
        <v>Patricia Hall</v>
      </c>
      <c r="E162" t="s">
        <v>14</v>
      </c>
      <c r="F162">
        <v>51</v>
      </c>
      <c r="G162" t="s">
        <v>20</v>
      </c>
      <c r="H162" t="s">
        <v>21</v>
      </c>
      <c r="I162" s="1">
        <v>41418</v>
      </c>
      <c r="J162" s="2">
        <v>33605</v>
      </c>
      <c r="K162">
        <v>1</v>
      </c>
      <c r="L162">
        <v>12</v>
      </c>
      <c r="M162" t="s">
        <v>26</v>
      </c>
      <c r="N162" t="str">
        <f t="shared" si="7"/>
        <v>51-60</v>
      </c>
      <c r="O162">
        <f t="shared" si="8"/>
        <v>2013</v>
      </c>
    </row>
    <row r="163" spans="1:15" x14ac:dyDescent="0.25">
      <c r="A163">
        <v>162</v>
      </c>
      <c r="B163" t="s">
        <v>51</v>
      </c>
      <c r="C163" t="s">
        <v>37</v>
      </c>
      <c r="D163" t="str">
        <f t="shared" si="6"/>
        <v>Paul Taylor</v>
      </c>
      <c r="E163" t="s">
        <v>28</v>
      </c>
      <c r="F163">
        <v>28</v>
      </c>
      <c r="G163" t="s">
        <v>15</v>
      </c>
      <c r="H163" t="s">
        <v>16</v>
      </c>
      <c r="I163" s="1">
        <v>40536</v>
      </c>
      <c r="J163" s="2">
        <v>37030</v>
      </c>
      <c r="K163">
        <v>1</v>
      </c>
      <c r="L163">
        <v>15</v>
      </c>
      <c r="M163" t="s">
        <v>17</v>
      </c>
      <c r="N163" t="str">
        <f t="shared" si="7"/>
        <v>20-30</v>
      </c>
      <c r="O163">
        <f t="shared" si="8"/>
        <v>2010</v>
      </c>
    </row>
    <row r="164" spans="1:15" x14ac:dyDescent="0.25">
      <c r="A164">
        <v>163</v>
      </c>
      <c r="B164" t="s">
        <v>29</v>
      </c>
      <c r="C164" t="s">
        <v>66</v>
      </c>
      <c r="D164" t="str">
        <f t="shared" si="6"/>
        <v>Jennifer Robinson</v>
      </c>
      <c r="E164" t="s">
        <v>14</v>
      </c>
      <c r="F164">
        <v>33</v>
      </c>
      <c r="G164" t="s">
        <v>24</v>
      </c>
      <c r="H164" t="s">
        <v>34</v>
      </c>
      <c r="I164" s="1">
        <v>42408</v>
      </c>
      <c r="J164" s="2">
        <v>71898</v>
      </c>
      <c r="K164">
        <v>3</v>
      </c>
      <c r="L164">
        <v>9</v>
      </c>
      <c r="M164" t="s">
        <v>17</v>
      </c>
      <c r="N164" t="str">
        <f t="shared" si="7"/>
        <v>31-40</v>
      </c>
      <c r="O164">
        <f t="shared" si="8"/>
        <v>2016</v>
      </c>
    </row>
    <row r="165" spans="1:15" x14ac:dyDescent="0.25">
      <c r="A165">
        <v>164</v>
      </c>
      <c r="B165" t="s">
        <v>61</v>
      </c>
      <c r="C165" t="s">
        <v>59</v>
      </c>
      <c r="D165" t="str">
        <f t="shared" si="6"/>
        <v>Christopher Martinez</v>
      </c>
      <c r="E165" t="s">
        <v>28</v>
      </c>
      <c r="F165">
        <v>30</v>
      </c>
      <c r="G165" t="s">
        <v>20</v>
      </c>
      <c r="H165" t="s">
        <v>31</v>
      </c>
      <c r="I165" s="1">
        <v>41022</v>
      </c>
      <c r="J165" s="2">
        <v>32845</v>
      </c>
      <c r="K165">
        <v>2</v>
      </c>
      <c r="L165">
        <v>13</v>
      </c>
      <c r="M165" t="s">
        <v>17</v>
      </c>
      <c r="N165" t="str">
        <f t="shared" si="7"/>
        <v>20-30</v>
      </c>
      <c r="O165">
        <f t="shared" si="8"/>
        <v>2012</v>
      </c>
    </row>
    <row r="166" spans="1:15" x14ac:dyDescent="0.25">
      <c r="A166">
        <v>165</v>
      </c>
      <c r="B166" t="s">
        <v>35</v>
      </c>
      <c r="C166" t="s">
        <v>67</v>
      </c>
      <c r="D166" t="str">
        <f t="shared" si="6"/>
        <v>Thomas Brown</v>
      </c>
      <c r="E166" t="s">
        <v>28</v>
      </c>
      <c r="F166">
        <v>51</v>
      </c>
      <c r="G166" t="s">
        <v>15</v>
      </c>
      <c r="H166" t="s">
        <v>34</v>
      </c>
      <c r="I166" s="1">
        <v>45321</v>
      </c>
      <c r="J166" s="2">
        <v>85530</v>
      </c>
      <c r="K166">
        <v>1</v>
      </c>
      <c r="L166">
        <v>2</v>
      </c>
      <c r="M166" t="s">
        <v>17</v>
      </c>
      <c r="N166" t="str">
        <f t="shared" si="7"/>
        <v>51-60</v>
      </c>
      <c r="O166">
        <f t="shared" si="8"/>
        <v>2024</v>
      </c>
    </row>
    <row r="167" spans="1:15" x14ac:dyDescent="0.25">
      <c r="A167">
        <v>166</v>
      </c>
      <c r="B167" t="s">
        <v>72</v>
      </c>
      <c r="C167" t="s">
        <v>56</v>
      </c>
      <c r="D167" t="str">
        <f t="shared" si="6"/>
        <v>Emma Garcia</v>
      </c>
      <c r="E167" t="s">
        <v>14</v>
      </c>
      <c r="F167">
        <v>40</v>
      </c>
      <c r="G167" t="s">
        <v>55</v>
      </c>
      <c r="H167" t="s">
        <v>25</v>
      </c>
      <c r="I167" s="1">
        <v>42790</v>
      </c>
      <c r="J167" s="2">
        <v>53310</v>
      </c>
      <c r="K167">
        <v>4</v>
      </c>
      <c r="L167">
        <v>8</v>
      </c>
      <c r="M167" t="s">
        <v>17</v>
      </c>
      <c r="N167" t="str">
        <f t="shared" si="7"/>
        <v>31-40</v>
      </c>
      <c r="O167">
        <f t="shared" si="8"/>
        <v>2017</v>
      </c>
    </row>
    <row r="168" spans="1:15" x14ac:dyDescent="0.25">
      <c r="A168">
        <v>167</v>
      </c>
      <c r="B168" t="s">
        <v>74</v>
      </c>
      <c r="C168" t="s">
        <v>37</v>
      </c>
      <c r="D168" t="str">
        <f t="shared" si="6"/>
        <v>James Taylor</v>
      </c>
      <c r="E168" t="s">
        <v>28</v>
      </c>
      <c r="F168">
        <v>30</v>
      </c>
      <c r="G168" t="s">
        <v>20</v>
      </c>
      <c r="H168" t="s">
        <v>16</v>
      </c>
      <c r="I168" s="1">
        <v>44390</v>
      </c>
      <c r="J168" s="2">
        <v>27011</v>
      </c>
      <c r="K168">
        <v>1</v>
      </c>
      <c r="L168">
        <v>4</v>
      </c>
      <c r="M168" t="s">
        <v>26</v>
      </c>
      <c r="N168" t="str">
        <f t="shared" si="7"/>
        <v>20-30</v>
      </c>
      <c r="O168">
        <f t="shared" si="8"/>
        <v>2021</v>
      </c>
    </row>
    <row r="169" spans="1:15" x14ac:dyDescent="0.25">
      <c r="A169">
        <v>168</v>
      </c>
      <c r="B169" t="s">
        <v>38</v>
      </c>
      <c r="C169" t="s">
        <v>70</v>
      </c>
      <c r="D169" t="str">
        <f t="shared" si="6"/>
        <v>Mary Harris</v>
      </c>
      <c r="E169" t="s">
        <v>14</v>
      </c>
      <c r="F169">
        <v>53</v>
      </c>
      <c r="G169" t="s">
        <v>41</v>
      </c>
      <c r="H169" t="s">
        <v>31</v>
      </c>
      <c r="I169" s="1">
        <v>43759</v>
      </c>
      <c r="J169" s="2">
        <v>78575</v>
      </c>
      <c r="K169">
        <v>2</v>
      </c>
      <c r="L169">
        <v>6</v>
      </c>
      <c r="M169" t="s">
        <v>17</v>
      </c>
      <c r="N169" t="str">
        <f t="shared" si="7"/>
        <v>51-60</v>
      </c>
      <c r="O169">
        <f t="shared" si="8"/>
        <v>2019</v>
      </c>
    </row>
    <row r="170" spans="1:15" x14ac:dyDescent="0.25">
      <c r="A170">
        <v>169</v>
      </c>
      <c r="B170" t="s">
        <v>74</v>
      </c>
      <c r="C170" t="s">
        <v>59</v>
      </c>
      <c r="D170" t="str">
        <f t="shared" si="6"/>
        <v>James Martinez</v>
      </c>
      <c r="E170" t="s">
        <v>28</v>
      </c>
      <c r="F170">
        <v>47</v>
      </c>
      <c r="G170" t="s">
        <v>24</v>
      </c>
      <c r="H170" t="s">
        <v>31</v>
      </c>
      <c r="I170" s="1">
        <v>45501</v>
      </c>
      <c r="J170" s="2">
        <v>54515</v>
      </c>
      <c r="K170">
        <v>3</v>
      </c>
      <c r="L170">
        <v>1</v>
      </c>
      <c r="M170" t="s">
        <v>26</v>
      </c>
      <c r="N170" t="str">
        <f t="shared" si="7"/>
        <v>41-50</v>
      </c>
      <c r="O170">
        <f t="shared" si="8"/>
        <v>2024</v>
      </c>
    </row>
    <row r="171" spans="1:15" x14ac:dyDescent="0.25">
      <c r="A171">
        <v>170</v>
      </c>
      <c r="B171" t="s">
        <v>63</v>
      </c>
      <c r="C171" t="s">
        <v>23</v>
      </c>
      <c r="D171" t="str">
        <f t="shared" si="6"/>
        <v>Steven Johnson</v>
      </c>
      <c r="E171" t="s">
        <v>28</v>
      </c>
      <c r="F171">
        <v>59</v>
      </c>
      <c r="G171" t="s">
        <v>20</v>
      </c>
      <c r="H171" t="s">
        <v>16</v>
      </c>
      <c r="I171" s="1">
        <v>41386</v>
      </c>
      <c r="J171" s="2">
        <v>41499</v>
      </c>
      <c r="K171">
        <v>1</v>
      </c>
      <c r="L171">
        <v>12</v>
      </c>
      <c r="M171" t="s">
        <v>26</v>
      </c>
      <c r="N171" t="str">
        <f t="shared" si="7"/>
        <v>51-60</v>
      </c>
      <c r="O171">
        <f t="shared" si="8"/>
        <v>2013</v>
      </c>
    </row>
    <row r="172" spans="1:15" x14ac:dyDescent="0.25">
      <c r="A172">
        <v>171</v>
      </c>
      <c r="B172" t="s">
        <v>63</v>
      </c>
      <c r="C172" t="s">
        <v>43</v>
      </c>
      <c r="D172" t="str">
        <f t="shared" si="6"/>
        <v>Steven Jackson</v>
      </c>
      <c r="E172" t="s">
        <v>28</v>
      </c>
      <c r="F172">
        <v>41</v>
      </c>
      <c r="G172" t="s">
        <v>55</v>
      </c>
      <c r="H172" t="s">
        <v>16</v>
      </c>
      <c r="I172" s="1">
        <v>40303</v>
      </c>
      <c r="J172" s="2">
        <v>94712</v>
      </c>
      <c r="K172">
        <v>2</v>
      </c>
      <c r="L172">
        <v>15</v>
      </c>
      <c r="M172" t="s">
        <v>17</v>
      </c>
      <c r="N172" t="str">
        <f t="shared" si="7"/>
        <v>41-50</v>
      </c>
      <c r="O172">
        <f t="shared" si="8"/>
        <v>2010</v>
      </c>
    </row>
    <row r="173" spans="1:15" x14ac:dyDescent="0.25">
      <c r="A173">
        <v>172</v>
      </c>
      <c r="B173" t="s">
        <v>47</v>
      </c>
      <c r="C173" t="s">
        <v>46</v>
      </c>
      <c r="D173" t="str">
        <f t="shared" si="6"/>
        <v>David Walker</v>
      </c>
      <c r="E173" t="s">
        <v>28</v>
      </c>
      <c r="F173">
        <v>55</v>
      </c>
      <c r="G173" t="s">
        <v>15</v>
      </c>
      <c r="H173" t="s">
        <v>31</v>
      </c>
      <c r="I173" s="1">
        <v>45546</v>
      </c>
      <c r="J173" s="2">
        <v>57367</v>
      </c>
      <c r="K173">
        <v>4</v>
      </c>
      <c r="L173">
        <v>1</v>
      </c>
      <c r="M173" t="s">
        <v>17</v>
      </c>
      <c r="N173" t="str">
        <f t="shared" si="7"/>
        <v>51-60</v>
      </c>
      <c r="O173">
        <f t="shared" si="8"/>
        <v>2024</v>
      </c>
    </row>
    <row r="174" spans="1:15" x14ac:dyDescent="0.25">
      <c r="A174">
        <v>173</v>
      </c>
      <c r="B174" t="s">
        <v>53</v>
      </c>
      <c r="C174" t="s">
        <v>56</v>
      </c>
      <c r="D174" t="str">
        <f t="shared" si="6"/>
        <v>Linda Garcia</v>
      </c>
      <c r="E174" t="s">
        <v>14</v>
      </c>
      <c r="F174">
        <v>58</v>
      </c>
      <c r="G174" t="s">
        <v>20</v>
      </c>
      <c r="H174" t="s">
        <v>21</v>
      </c>
      <c r="I174" s="1">
        <v>44524</v>
      </c>
      <c r="J174" s="2">
        <v>31176</v>
      </c>
      <c r="K174">
        <v>3</v>
      </c>
      <c r="L174">
        <v>4</v>
      </c>
      <c r="M174" t="s">
        <v>17</v>
      </c>
      <c r="N174" t="str">
        <f t="shared" si="7"/>
        <v>51-60</v>
      </c>
      <c r="O174">
        <f t="shared" si="8"/>
        <v>2021</v>
      </c>
    </row>
    <row r="175" spans="1:15" x14ac:dyDescent="0.25">
      <c r="A175">
        <v>174</v>
      </c>
      <c r="B175" t="s">
        <v>38</v>
      </c>
      <c r="C175" t="s">
        <v>13</v>
      </c>
      <c r="D175" t="str">
        <f t="shared" si="6"/>
        <v>Mary Martin</v>
      </c>
      <c r="E175" t="s">
        <v>14</v>
      </c>
      <c r="F175">
        <v>53</v>
      </c>
      <c r="G175" t="s">
        <v>39</v>
      </c>
      <c r="H175" t="s">
        <v>16</v>
      </c>
      <c r="I175" s="1">
        <v>41865</v>
      </c>
      <c r="J175" s="2">
        <v>40601</v>
      </c>
      <c r="K175">
        <v>4</v>
      </c>
      <c r="L175">
        <v>11</v>
      </c>
      <c r="M175" t="s">
        <v>26</v>
      </c>
      <c r="N175" t="str">
        <f t="shared" si="7"/>
        <v>51-60</v>
      </c>
      <c r="O175">
        <f t="shared" si="8"/>
        <v>2014</v>
      </c>
    </row>
    <row r="176" spans="1:15" x14ac:dyDescent="0.25">
      <c r="A176">
        <v>175</v>
      </c>
      <c r="B176" t="s">
        <v>60</v>
      </c>
      <c r="C176" t="s">
        <v>64</v>
      </c>
      <c r="D176" t="str">
        <f t="shared" si="6"/>
        <v>Elizabeth Anderson</v>
      </c>
      <c r="E176" t="s">
        <v>14</v>
      </c>
      <c r="F176">
        <v>45</v>
      </c>
      <c r="G176" t="s">
        <v>55</v>
      </c>
      <c r="H176" t="s">
        <v>34</v>
      </c>
      <c r="I176" s="1">
        <v>45040</v>
      </c>
      <c r="J176" s="2">
        <v>39947</v>
      </c>
      <c r="K176">
        <v>3</v>
      </c>
      <c r="L176">
        <v>2</v>
      </c>
      <c r="M176" t="s">
        <v>26</v>
      </c>
      <c r="N176" t="str">
        <f t="shared" si="7"/>
        <v>41-50</v>
      </c>
      <c r="O176">
        <f t="shared" si="8"/>
        <v>2023</v>
      </c>
    </row>
    <row r="177" spans="1:15" x14ac:dyDescent="0.25">
      <c r="A177">
        <v>176</v>
      </c>
      <c r="B177" t="s">
        <v>18</v>
      </c>
      <c r="C177" t="s">
        <v>23</v>
      </c>
      <c r="D177" t="str">
        <f t="shared" si="6"/>
        <v>Sarah Johnson</v>
      </c>
      <c r="E177" t="s">
        <v>14</v>
      </c>
      <c r="F177">
        <v>25</v>
      </c>
      <c r="G177" t="s">
        <v>15</v>
      </c>
      <c r="H177" t="s">
        <v>21</v>
      </c>
      <c r="I177" s="1">
        <v>43324</v>
      </c>
      <c r="J177" s="2">
        <v>45971</v>
      </c>
      <c r="K177">
        <v>1</v>
      </c>
      <c r="L177">
        <v>7</v>
      </c>
      <c r="M177" t="s">
        <v>17</v>
      </c>
      <c r="N177" t="str">
        <f t="shared" si="7"/>
        <v>20-30</v>
      </c>
      <c r="O177">
        <f t="shared" si="8"/>
        <v>2018</v>
      </c>
    </row>
    <row r="178" spans="1:15" x14ac:dyDescent="0.25">
      <c r="A178">
        <v>177</v>
      </c>
      <c r="B178" t="s">
        <v>18</v>
      </c>
      <c r="C178" t="s">
        <v>59</v>
      </c>
      <c r="D178" t="str">
        <f t="shared" si="6"/>
        <v>Sarah Martinez</v>
      </c>
      <c r="E178" t="s">
        <v>14</v>
      </c>
      <c r="F178">
        <v>47</v>
      </c>
      <c r="G178" t="s">
        <v>24</v>
      </c>
      <c r="H178" t="s">
        <v>25</v>
      </c>
      <c r="I178" s="1">
        <v>43552</v>
      </c>
      <c r="J178" s="2">
        <v>47942</v>
      </c>
      <c r="K178">
        <v>3</v>
      </c>
      <c r="L178">
        <v>6</v>
      </c>
      <c r="M178" t="s">
        <v>26</v>
      </c>
      <c r="N178" t="str">
        <f t="shared" si="7"/>
        <v>41-50</v>
      </c>
      <c r="O178">
        <f t="shared" si="8"/>
        <v>2019</v>
      </c>
    </row>
    <row r="179" spans="1:15" x14ac:dyDescent="0.25">
      <c r="A179">
        <v>178</v>
      </c>
      <c r="B179" t="s">
        <v>40</v>
      </c>
      <c r="C179" t="s">
        <v>48</v>
      </c>
      <c r="D179" t="str">
        <f t="shared" si="6"/>
        <v>John Thompson</v>
      </c>
      <c r="E179" t="s">
        <v>28</v>
      </c>
      <c r="F179">
        <v>41</v>
      </c>
      <c r="G179" t="s">
        <v>41</v>
      </c>
      <c r="H179" t="s">
        <v>31</v>
      </c>
      <c r="I179" s="1">
        <v>41424</v>
      </c>
      <c r="J179" s="2">
        <v>87461</v>
      </c>
      <c r="K179">
        <v>3</v>
      </c>
      <c r="L179">
        <v>12</v>
      </c>
      <c r="M179" t="s">
        <v>17</v>
      </c>
      <c r="N179" t="str">
        <f t="shared" si="7"/>
        <v>41-50</v>
      </c>
      <c r="O179">
        <f t="shared" si="8"/>
        <v>2013</v>
      </c>
    </row>
    <row r="180" spans="1:15" x14ac:dyDescent="0.25">
      <c r="A180">
        <v>179</v>
      </c>
      <c r="B180" t="s">
        <v>27</v>
      </c>
      <c r="C180" t="s">
        <v>33</v>
      </c>
      <c r="D180" t="str">
        <f t="shared" si="6"/>
        <v>Robert Hall</v>
      </c>
      <c r="E180" t="s">
        <v>28</v>
      </c>
      <c r="F180">
        <v>29</v>
      </c>
      <c r="G180" t="s">
        <v>20</v>
      </c>
      <c r="H180" t="s">
        <v>31</v>
      </c>
      <c r="I180" s="1">
        <v>42472</v>
      </c>
      <c r="J180" s="2">
        <v>86699</v>
      </c>
      <c r="K180">
        <v>2</v>
      </c>
      <c r="L180">
        <v>9</v>
      </c>
      <c r="M180" t="s">
        <v>17</v>
      </c>
      <c r="N180" t="str">
        <f t="shared" si="7"/>
        <v>20-30</v>
      </c>
      <c r="O180">
        <f t="shared" si="8"/>
        <v>2016</v>
      </c>
    </row>
    <row r="181" spans="1:15" x14ac:dyDescent="0.25">
      <c r="A181">
        <v>180</v>
      </c>
      <c r="B181" t="s">
        <v>44</v>
      </c>
      <c r="C181" t="s">
        <v>13</v>
      </c>
      <c r="D181" t="str">
        <f t="shared" si="6"/>
        <v>Sophia Martin</v>
      </c>
      <c r="E181" t="s">
        <v>14</v>
      </c>
      <c r="F181">
        <v>42</v>
      </c>
      <c r="G181" t="s">
        <v>39</v>
      </c>
      <c r="H181" t="s">
        <v>31</v>
      </c>
      <c r="I181" s="1">
        <v>44660</v>
      </c>
      <c r="J181" s="2">
        <v>37803</v>
      </c>
      <c r="K181">
        <v>5</v>
      </c>
      <c r="L181">
        <v>3</v>
      </c>
      <c r="M181" t="s">
        <v>26</v>
      </c>
      <c r="N181" t="str">
        <f t="shared" si="7"/>
        <v>41-50</v>
      </c>
      <c r="O181">
        <f t="shared" si="8"/>
        <v>2022</v>
      </c>
    </row>
    <row r="182" spans="1:15" x14ac:dyDescent="0.25">
      <c r="A182">
        <v>181</v>
      </c>
      <c r="B182" t="s">
        <v>49</v>
      </c>
      <c r="C182" t="s">
        <v>13</v>
      </c>
      <c r="D182" t="str">
        <f t="shared" si="6"/>
        <v>Barbara Martin</v>
      </c>
      <c r="E182" t="s">
        <v>14</v>
      </c>
      <c r="F182">
        <v>48</v>
      </c>
      <c r="G182" t="s">
        <v>15</v>
      </c>
      <c r="H182" t="s">
        <v>16</v>
      </c>
      <c r="I182" s="1">
        <v>43721</v>
      </c>
      <c r="J182" s="2">
        <v>78221</v>
      </c>
      <c r="K182">
        <v>5</v>
      </c>
      <c r="L182">
        <v>6</v>
      </c>
      <c r="M182" t="s">
        <v>17</v>
      </c>
      <c r="N182" t="str">
        <f t="shared" si="7"/>
        <v>41-50</v>
      </c>
      <c r="O182">
        <f t="shared" si="8"/>
        <v>2019</v>
      </c>
    </row>
    <row r="183" spans="1:15" x14ac:dyDescent="0.25">
      <c r="A183">
        <v>182</v>
      </c>
      <c r="B183" t="s">
        <v>50</v>
      </c>
      <c r="C183" t="s">
        <v>19</v>
      </c>
      <c r="D183" t="str">
        <f t="shared" si="6"/>
        <v>Anthony Lewis</v>
      </c>
      <c r="E183" t="s">
        <v>28</v>
      </c>
      <c r="F183">
        <v>58</v>
      </c>
      <c r="G183" t="s">
        <v>20</v>
      </c>
      <c r="H183" t="s">
        <v>21</v>
      </c>
      <c r="I183" s="1">
        <v>40475</v>
      </c>
      <c r="J183" s="2">
        <v>76251</v>
      </c>
      <c r="K183">
        <v>1</v>
      </c>
      <c r="L183">
        <v>15</v>
      </c>
      <c r="M183" t="s">
        <v>17</v>
      </c>
      <c r="N183" t="str">
        <f t="shared" si="7"/>
        <v>51-60</v>
      </c>
      <c r="O183">
        <f t="shared" si="8"/>
        <v>2010</v>
      </c>
    </row>
    <row r="184" spans="1:15" x14ac:dyDescent="0.25">
      <c r="A184">
        <v>183</v>
      </c>
      <c r="B184" t="s">
        <v>73</v>
      </c>
      <c r="C184" t="s">
        <v>45</v>
      </c>
      <c r="D184" t="str">
        <f t="shared" si="6"/>
        <v>Daniel White</v>
      </c>
      <c r="E184" t="s">
        <v>28</v>
      </c>
      <c r="F184">
        <v>23</v>
      </c>
      <c r="G184" t="s">
        <v>15</v>
      </c>
      <c r="H184" t="s">
        <v>16</v>
      </c>
      <c r="I184" s="1">
        <v>43294</v>
      </c>
      <c r="J184" s="2">
        <v>38563</v>
      </c>
      <c r="K184">
        <v>4</v>
      </c>
      <c r="L184">
        <v>7</v>
      </c>
      <c r="M184" t="s">
        <v>17</v>
      </c>
      <c r="N184" t="str">
        <f t="shared" si="7"/>
        <v>20-30</v>
      </c>
      <c r="O184">
        <f t="shared" si="8"/>
        <v>2018</v>
      </c>
    </row>
    <row r="185" spans="1:15" x14ac:dyDescent="0.25">
      <c r="A185">
        <v>184</v>
      </c>
      <c r="B185" t="s">
        <v>27</v>
      </c>
      <c r="C185" t="s">
        <v>45</v>
      </c>
      <c r="D185" t="str">
        <f t="shared" si="6"/>
        <v>Robert White</v>
      </c>
      <c r="E185" t="s">
        <v>28</v>
      </c>
      <c r="F185">
        <v>42</v>
      </c>
      <c r="G185" t="s">
        <v>24</v>
      </c>
      <c r="H185" t="s">
        <v>31</v>
      </c>
      <c r="I185" s="1">
        <v>40723</v>
      </c>
      <c r="J185" s="2">
        <v>87830</v>
      </c>
      <c r="K185">
        <v>4</v>
      </c>
      <c r="L185">
        <v>14</v>
      </c>
      <c r="M185" t="s">
        <v>17</v>
      </c>
      <c r="N185" t="str">
        <f t="shared" si="7"/>
        <v>41-50</v>
      </c>
      <c r="O185">
        <f t="shared" si="8"/>
        <v>2011</v>
      </c>
    </row>
    <row r="186" spans="1:15" x14ac:dyDescent="0.25">
      <c r="A186">
        <v>185</v>
      </c>
      <c r="B186" t="s">
        <v>36</v>
      </c>
      <c r="C186" t="s">
        <v>45</v>
      </c>
      <c r="D186" t="str">
        <f t="shared" si="6"/>
        <v>Michael White</v>
      </c>
      <c r="E186" t="s">
        <v>28</v>
      </c>
      <c r="F186">
        <v>30</v>
      </c>
      <c r="G186" t="s">
        <v>55</v>
      </c>
      <c r="H186" t="s">
        <v>34</v>
      </c>
      <c r="I186" s="1">
        <v>44755</v>
      </c>
      <c r="J186" s="2">
        <v>26542</v>
      </c>
      <c r="K186">
        <v>1</v>
      </c>
      <c r="L186">
        <v>3</v>
      </c>
      <c r="M186" t="s">
        <v>26</v>
      </c>
      <c r="N186" t="str">
        <f t="shared" si="7"/>
        <v>20-30</v>
      </c>
      <c r="O186">
        <f t="shared" si="8"/>
        <v>2022</v>
      </c>
    </row>
    <row r="187" spans="1:15" x14ac:dyDescent="0.25">
      <c r="A187">
        <v>186</v>
      </c>
      <c r="B187" t="s">
        <v>69</v>
      </c>
      <c r="C187" t="s">
        <v>43</v>
      </c>
      <c r="D187" t="str">
        <f t="shared" si="6"/>
        <v>Anna Jackson</v>
      </c>
      <c r="E187" t="s">
        <v>14</v>
      </c>
      <c r="F187">
        <v>34</v>
      </c>
      <c r="G187" t="s">
        <v>39</v>
      </c>
      <c r="H187" t="s">
        <v>25</v>
      </c>
      <c r="I187" s="1">
        <v>43029</v>
      </c>
      <c r="J187" s="2">
        <v>88827</v>
      </c>
      <c r="K187">
        <v>3</v>
      </c>
      <c r="L187">
        <v>8</v>
      </c>
      <c r="M187" t="s">
        <v>26</v>
      </c>
      <c r="N187" t="str">
        <f t="shared" si="7"/>
        <v>31-40</v>
      </c>
      <c r="O187">
        <f t="shared" si="8"/>
        <v>2017</v>
      </c>
    </row>
    <row r="188" spans="1:15" x14ac:dyDescent="0.25">
      <c r="A188">
        <v>187</v>
      </c>
      <c r="B188" t="s">
        <v>40</v>
      </c>
      <c r="C188" t="s">
        <v>30</v>
      </c>
      <c r="D188" t="str">
        <f t="shared" si="6"/>
        <v>John Lee</v>
      </c>
      <c r="E188" t="s">
        <v>28</v>
      </c>
      <c r="F188">
        <v>48</v>
      </c>
      <c r="G188" t="s">
        <v>55</v>
      </c>
      <c r="H188" t="s">
        <v>25</v>
      </c>
      <c r="I188" s="1">
        <v>45495</v>
      </c>
      <c r="J188" s="2">
        <v>79773</v>
      </c>
      <c r="K188">
        <v>3</v>
      </c>
      <c r="L188">
        <v>1</v>
      </c>
      <c r="M188" t="s">
        <v>26</v>
      </c>
      <c r="N188" t="str">
        <f t="shared" si="7"/>
        <v>41-50</v>
      </c>
      <c r="O188">
        <f t="shared" si="8"/>
        <v>2024</v>
      </c>
    </row>
    <row r="189" spans="1:15" x14ac:dyDescent="0.25">
      <c r="A189">
        <v>188</v>
      </c>
      <c r="B189" t="s">
        <v>12</v>
      </c>
      <c r="C189" t="s">
        <v>43</v>
      </c>
      <c r="D189" t="str">
        <f t="shared" si="6"/>
        <v>Susan Jackson</v>
      </c>
      <c r="E189" t="s">
        <v>14</v>
      </c>
      <c r="F189">
        <v>31</v>
      </c>
      <c r="G189" t="s">
        <v>20</v>
      </c>
      <c r="H189" t="s">
        <v>21</v>
      </c>
      <c r="I189" s="1">
        <v>43495</v>
      </c>
      <c r="J189" s="2">
        <v>40786</v>
      </c>
      <c r="K189">
        <v>2</v>
      </c>
      <c r="L189">
        <v>7</v>
      </c>
      <c r="M189" t="s">
        <v>26</v>
      </c>
      <c r="N189" t="str">
        <f t="shared" si="7"/>
        <v>31-40</v>
      </c>
      <c r="O189">
        <f t="shared" si="8"/>
        <v>2019</v>
      </c>
    </row>
    <row r="190" spans="1:15" x14ac:dyDescent="0.25">
      <c r="A190">
        <v>189</v>
      </c>
      <c r="B190" t="s">
        <v>51</v>
      </c>
      <c r="C190" t="s">
        <v>70</v>
      </c>
      <c r="D190" t="str">
        <f t="shared" si="6"/>
        <v>Paul Harris</v>
      </c>
      <c r="E190" t="s">
        <v>28</v>
      </c>
      <c r="F190">
        <v>49</v>
      </c>
      <c r="G190" t="s">
        <v>15</v>
      </c>
      <c r="H190" t="s">
        <v>34</v>
      </c>
      <c r="I190" s="1">
        <v>45443</v>
      </c>
      <c r="J190" s="2">
        <v>33575</v>
      </c>
      <c r="K190">
        <v>2</v>
      </c>
      <c r="L190">
        <v>1</v>
      </c>
      <c r="M190" t="s">
        <v>17</v>
      </c>
      <c r="N190" t="str">
        <f t="shared" si="7"/>
        <v>41-50</v>
      </c>
      <c r="O190">
        <f t="shared" si="8"/>
        <v>2024</v>
      </c>
    </row>
    <row r="191" spans="1:15" x14ac:dyDescent="0.25">
      <c r="A191">
        <v>190</v>
      </c>
      <c r="B191" t="s">
        <v>49</v>
      </c>
      <c r="C191" t="s">
        <v>30</v>
      </c>
      <c r="D191" t="str">
        <f t="shared" si="6"/>
        <v>Barbara Lee</v>
      </c>
      <c r="E191" t="s">
        <v>14</v>
      </c>
      <c r="F191">
        <v>47</v>
      </c>
      <c r="G191" t="s">
        <v>41</v>
      </c>
      <c r="H191" t="s">
        <v>31</v>
      </c>
      <c r="I191" s="1">
        <v>45268</v>
      </c>
      <c r="J191" s="2">
        <v>39949</v>
      </c>
      <c r="K191">
        <v>3</v>
      </c>
      <c r="L191">
        <v>2</v>
      </c>
      <c r="M191" t="s">
        <v>26</v>
      </c>
      <c r="N191" t="str">
        <f t="shared" si="7"/>
        <v>41-50</v>
      </c>
      <c r="O191">
        <f t="shared" si="8"/>
        <v>2023</v>
      </c>
    </row>
    <row r="192" spans="1:15" x14ac:dyDescent="0.25">
      <c r="A192">
        <v>191</v>
      </c>
      <c r="B192" t="s">
        <v>73</v>
      </c>
      <c r="C192" t="s">
        <v>58</v>
      </c>
      <c r="D192" t="str">
        <f t="shared" si="6"/>
        <v>Daniel Clark</v>
      </c>
      <c r="E192" t="s">
        <v>28</v>
      </c>
      <c r="F192">
        <v>51</v>
      </c>
      <c r="G192" t="s">
        <v>55</v>
      </c>
      <c r="H192" t="s">
        <v>25</v>
      </c>
      <c r="I192" s="1">
        <v>44482</v>
      </c>
      <c r="J192" s="2">
        <v>41832</v>
      </c>
      <c r="K192">
        <v>1</v>
      </c>
      <c r="L192">
        <v>4</v>
      </c>
      <c r="M192" t="s">
        <v>26</v>
      </c>
      <c r="N192" t="str">
        <f t="shared" si="7"/>
        <v>51-60</v>
      </c>
      <c r="O192">
        <f t="shared" si="8"/>
        <v>2021</v>
      </c>
    </row>
    <row r="193" spans="1:15" x14ac:dyDescent="0.25">
      <c r="A193">
        <v>192</v>
      </c>
      <c r="B193" t="s">
        <v>42</v>
      </c>
      <c r="C193" t="s">
        <v>13</v>
      </c>
      <c r="D193" t="str">
        <f t="shared" si="6"/>
        <v>William Martin</v>
      </c>
      <c r="E193" t="s">
        <v>28</v>
      </c>
      <c r="F193">
        <v>40</v>
      </c>
      <c r="G193" t="s">
        <v>20</v>
      </c>
      <c r="H193" t="s">
        <v>31</v>
      </c>
      <c r="I193" s="1">
        <v>42748</v>
      </c>
      <c r="J193" s="2">
        <v>83018</v>
      </c>
      <c r="K193">
        <v>5</v>
      </c>
      <c r="L193">
        <v>9</v>
      </c>
      <c r="M193" t="s">
        <v>17</v>
      </c>
      <c r="N193" t="str">
        <f t="shared" si="7"/>
        <v>31-40</v>
      </c>
      <c r="O193">
        <f t="shared" si="8"/>
        <v>2017</v>
      </c>
    </row>
    <row r="194" spans="1:15" x14ac:dyDescent="0.25">
      <c r="A194">
        <v>193</v>
      </c>
      <c r="B194" t="s">
        <v>60</v>
      </c>
      <c r="C194" t="s">
        <v>67</v>
      </c>
      <c r="D194" t="str">
        <f t="shared" ref="D194:D257" si="9">CONCATENATE(B194," ",C194)</f>
        <v>Elizabeth Brown</v>
      </c>
      <c r="E194" t="s">
        <v>14</v>
      </c>
      <c r="F194">
        <v>46</v>
      </c>
      <c r="G194" t="s">
        <v>39</v>
      </c>
      <c r="H194" t="s">
        <v>21</v>
      </c>
      <c r="I194" s="1">
        <v>44669</v>
      </c>
      <c r="J194" s="2">
        <v>76517</v>
      </c>
      <c r="K194">
        <v>1</v>
      </c>
      <c r="L194">
        <v>3</v>
      </c>
      <c r="M194" t="s">
        <v>26</v>
      </c>
      <c r="N194" t="str">
        <f t="shared" ref="N194:N257" si="10">IF(AND(F194&gt;=20,F194&lt;=30),"20-30",IF(AND(F194&gt;=31,F194&lt;=40),"31-40",IF(AND(F194&gt;=41,F194&lt;=50),"41-50",IF(AND(F194&gt;=51,F194&lt;=60),"51-60"))))</f>
        <v>41-50</v>
      </c>
      <c r="O194">
        <f t="shared" ref="O194:O257" si="11">YEAR(I194)</f>
        <v>2022</v>
      </c>
    </row>
    <row r="195" spans="1:15" x14ac:dyDescent="0.25">
      <c r="A195">
        <v>194</v>
      </c>
      <c r="B195" t="s">
        <v>36</v>
      </c>
      <c r="C195" t="s">
        <v>13</v>
      </c>
      <c r="D195" t="str">
        <f t="shared" si="9"/>
        <v>Michael Martin</v>
      </c>
      <c r="E195" t="s">
        <v>28</v>
      </c>
      <c r="F195">
        <v>29</v>
      </c>
      <c r="G195" t="s">
        <v>39</v>
      </c>
      <c r="H195" t="s">
        <v>16</v>
      </c>
      <c r="I195" s="1">
        <v>42181</v>
      </c>
      <c r="J195" s="2">
        <v>54551</v>
      </c>
      <c r="K195">
        <v>1</v>
      </c>
      <c r="L195">
        <v>10</v>
      </c>
      <c r="M195" t="s">
        <v>17</v>
      </c>
      <c r="N195" t="str">
        <f t="shared" si="10"/>
        <v>20-30</v>
      </c>
      <c r="O195">
        <f t="shared" si="11"/>
        <v>2015</v>
      </c>
    </row>
    <row r="196" spans="1:15" x14ac:dyDescent="0.25">
      <c r="A196">
        <v>195</v>
      </c>
      <c r="B196" t="s">
        <v>61</v>
      </c>
      <c r="C196" t="s">
        <v>67</v>
      </c>
      <c r="D196" t="str">
        <f t="shared" si="9"/>
        <v>Christopher Brown</v>
      </c>
      <c r="E196" t="s">
        <v>28</v>
      </c>
      <c r="F196">
        <v>38</v>
      </c>
      <c r="G196" t="s">
        <v>55</v>
      </c>
      <c r="H196" t="s">
        <v>31</v>
      </c>
      <c r="I196" s="1">
        <v>43740</v>
      </c>
      <c r="J196" s="2">
        <v>47634</v>
      </c>
      <c r="K196">
        <v>5</v>
      </c>
      <c r="L196">
        <v>6</v>
      </c>
      <c r="M196" t="s">
        <v>17</v>
      </c>
      <c r="N196" t="str">
        <f t="shared" si="10"/>
        <v>31-40</v>
      </c>
      <c r="O196">
        <f t="shared" si="11"/>
        <v>2019</v>
      </c>
    </row>
    <row r="197" spans="1:15" x14ac:dyDescent="0.25">
      <c r="A197">
        <v>196</v>
      </c>
      <c r="B197" t="s">
        <v>47</v>
      </c>
      <c r="C197" t="s">
        <v>54</v>
      </c>
      <c r="D197" t="str">
        <f t="shared" si="9"/>
        <v>David Smith</v>
      </c>
      <c r="E197" t="s">
        <v>28</v>
      </c>
      <c r="F197">
        <v>31</v>
      </c>
      <c r="G197" t="s">
        <v>24</v>
      </c>
      <c r="H197" t="s">
        <v>34</v>
      </c>
      <c r="I197" s="1">
        <v>40328</v>
      </c>
      <c r="J197" s="2">
        <v>74262</v>
      </c>
      <c r="K197">
        <v>4</v>
      </c>
      <c r="L197">
        <v>15</v>
      </c>
      <c r="M197" t="s">
        <v>17</v>
      </c>
      <c r="N197" t="str">
        <f t="shared" si="10"/>
        <v>31-40</v>
      </c>
      <c r="O197">
        <f t="shared" si="11"/>
        <v>2010</v>
      </c>
    </row>
    <row r="198" spans="1:15" x14ac:dyDescent="0.25">
      <c r="A198">
        <v>197</v>
      </c>
      <c r="B198" t="s">
        <v>74</v>
      </c>
      <c r="C198" t="s">
        <v>46</v>
      </c>
      <c r="D198" t="str">
        <f t="shared" si="9"/>
        <v>James Walker</v>
      </c>
      <c r="E198" t="s">
        <v>28</v>
      </c>
      <c r="F198">
        <v>45</v>
      </c>
      <c r="G198" t="s">
        <v>20</v>
      </c>
      <c r="H198" t="s">
        <v>34</v>
      </c>
      <c r="I198" s="1">
        <v>41627</v>
      </c>
      <c r="J198" s="2">
        <v>25654</v>
      </c>
      <c r="K198">
        <v>5</v>
      </c>
      <c r="L198">
        <v>12</v>
      </c>
      <c r="M198" t="s">
        <v>17</v>
      </c>
      <c r="N198" t="str">
        <f t="shared" si="10"/>
        <v>41-50</v>
      </c>
      <c r="O198">
        <f t="shared" si="11"/>
        <v>2013</v>
      </c>
    </row>
    <row r="199" spans="1:15" x14ac:dyDescent="0.25">
      <c r="A199">
        <v>198</v>
      </c>
      <c r="B199" t="s">
        <v>42</v>
      </c>
      <c r="C199" t="s">
        <v>59</v>
      </c>
      <c r="D199" t="str">
        <f t="shared" si="9"/>
        <v>William Martinez</v>
      </c>
      <c r="E199" t="s">
        <v>28</v>
      </c>
      <c r="F199">
        <v>49</v>
      </c>
      <c r="G199" t="s">
        <v>24</v>
      </c>
      <c r="H199" t="s">
        <v>31</v>
      </c>
      <c r="I199" s="1">
        <v>41011</v>
      </c>
      <c r="J199" s="2">
        <v>35172</v>
      </c>
      <c r="K199">
        <v>1</v>
      </c>
      <c r="L199">
        <v>13</v>
      </c>
      <c r="M199" t="s">
        <v>17</v>
      </c>
      <c r="N199" t="str">
        <f t="shared" si="10"/>
        <v>41-50</v>
      </c>
      <c r="O199">
        <f t="shared" si="11"/>
        <v>2012</v>
      </c>
    </row>
    <row r="200" spans="1:15" x14ac:dyDescent="0.25">
      <c r="A200">
        <v>199</v>
      </c>
      <c r="B200" t="s">
        <v>53</v>
      </c>
      <c r="C200" t="s">
        <v>48</v>
      </c>
      <c r="D200" t="str">
        <f t="shared" si="9"/>
        <v>Linda Thompson</v>
      </c>
      <c r="E200" t="s">
        <v>14</v>
      </c>
      <c r="F200">
        <v>55</v>
      </c>
      <c r="G200" t="s">
        <v>39</v>
      </c>
      <c r="H200" t="s">
        <v>16</v>
      </c>
      <c r="I200" s="1">
        <v>45672</v>
      </c>
      <c r="J200" s="2">
        <v>44639</v>
      </c>
      <c r="K200">
        <v>2</v>
      </c>
      <c r="L200">
        <v>1</v>
      </c>
      <c r="M200" t="s">
        <v>26</v>
      </c>
      <c r="N200" t="str">
        <f t="shared" si="10"/>
        <v>51-60</v>
      </c>
      <c r="O200">
        <f t="shared" si="11"/>
        <v>2025</v>
      </c>
    </row>
    <row r="201" spans="1:15" x14ac:dyDescent="0.25">
      <c r="A201">
        <v>200</v>
      </c>
      <c r="B201" t="s">
        <v>38</v>
      </c>
      <c r="C201" t="s">
        <v>43</v>
      </c>
      <c r="D201" t="str">
        <f t="shared" si="9"/>
        <v>Mary Jackson</v>
      </c>
      <c r="E201" t="s">
        <v>14</v>
      </c>
      <c r="F201">
        <v>44</v>
      </c>
      <c r="G201" t="s">
        <v>39</v>
      </c>
      <c r="H201" t="s">
        <v>21</v>
      </c>
      <c r="I201" s="1">
        <v>43912</v>
      </c>
      <c r="J201" s="2">
        <v>92190</v>
      </c>
      <c r="K201">
        <v>4</v>
      </c>
      <c r="L201">
        <v>5</v>
      </c>
      <c r="M201" t="s">
        <v>17</v>
      </c>
      <c r="N201" t="str">
        <f t="shared" si="10"/>
        <v>41-50</v>
      </c>
      <c r="O201">
        <f t="shared" si="11"/>
        <v>2020</v>
      </c>
    </row>
    <row r="202" spans="1:15" x14ac:dyDescent="0.25">
      <c r="A202">
        <v>201</v>
      </c>
      <c r="B202" t="s">
        <v>71</v>
      </c>
      <c r="C202" t="s">
        <v>43</v>
      </c>
      <c r="D202" t="str">
        <f t="shared" si="9"/>
        <v>Joseph Jackson</v>
      </c>
      <c r="E202" t="s">
        <v>28</v>
      </c>
      <c r="F202">
        <v>42</v>
      </c>
      <c r="G202" t="s">
        <v>39</v>
      </c>
      <c r="H202" t="s">
        <v>21</v>
      </c>
      <c r="I202" s="1">
        <v>44396</v>
      </c>
      <c r="J202" s="2">
        <v>88015</v>
      </c>
      <c r="K202">
        <v>5</v>
      </c>
      <c r="L202">
        <v>4</v>
      </c>
      <c r="M202" t="s">
        <v>17</v>
      </c>
      <c r="N202" t="str">
        <f t="shared" si="10"/>
        <v>41-50</v>
      </c>
      <c r="O202">
        <f t="shared" si="11"/>
        <v>2021</v>
      </c>
    </row>
    <row r="203" spans="1:15" x14ac:dyDescent="0.25">
      <c r="A203">
        <v>202</v>
      </c>
      <c r="B203" t="s">
        <v>69</v>
      </c>
      <c r="C203" t="s">
        <v>23</v>
      </c>
      <c r="D203" t="str">
        <f t="shared" si="9"/>
        <v>Anna Johnson</v>
      </c>
      <c r="E203" t="s">
        <v>14</v>
      </c>
      <c r="F203">
        <v>49</v>
      </c>
      <c r="G203" t="s">
        <v>15</v>
      </c>
      <c r="H203" t="s">
        <v>34</v>
      </c>
      <c r="I203" s="1">
        <v>40682</v>
      </c>
      <c r="J203" s="2">
        <v>27606</v>
      </c>
      <c r="K203">
        <v>5</v>
      </c>
      <c r="L203">
        <v>14</v>
      </c>
      <c r="M203" t="s">
        <v>17</v>
      </c>
      <c r="N203" t="str">
        <f t="shared" si="10"/>
        <v>41-50</v>
      </c>
      <c r="O203">
        <f t="shared" si="11"/>
        <v>2011</v>
      </c>
    </row>
    <row r="204" spans="1:15" x14ac:dyDescent="0.25">
      <c r="A204">
        <v>203</v>
      </c>
      <c r="B204" t="s">
        <v>36</v>
      </c>
      <c r="C204" t="s">
        <v>33</v>
      </c>
      <c r="D204" t="str">
        <f t="shared" si="9"/>
        <v>Michael Hall</v>
      </c>
      <c r="E204" t="s">
        <v>28</v>
      </c>
      <c r="F204">
        <v>58</v>
      </c>
      <c r="G204" t="s">
        <v>41</v>
      </c>
      <c r="H204" t="s">
        <v>21</v>
      </c>
      <c r="I204" s="1">
        <v>41473</v>
      </c>
      <c r="J204" s="2">
        <v>80486</v>
      </c>
      <c r="K204">
        <v>2</v>
      </c>
      <c r="L204">
        <v>12</v>
      </c>
      <c r="M204" t="s">
        <v>26</v>
      </c>
      <c r="N204" t="str">
        <f t="shared" si="10"/>
        <v>51-60</v>
      </c>
      <c r="O204">
        <f t="shared" si="11"/>
        <v>2013</v>
      </c>
    </row>
    <row r="205" spans="1:15" x14ac:dyDescent="0.25">
      <c r="A205">
        <v>204</v>
      </c>
      <c r="B205" t="s">
        <v>51</v>
      </c>
      <c r="C205" t="s">
        <v>59</v>
      </c>
      <c r="D205" t="str">
        <f t="shared" si="9"/>
        <v>Paul Martinez</v>
      </c>
      <c r="E205" t="s">
        <v>28</v>
      </c>
      <c r="F205">
        <v>43</v>
      </c>
      <c r="G205" t="s">
        <v>55</v>
      </c>
      <c r="H205" t="s">
        <v>25</v>
      </c>
      <c r="I205" s="1">
        <v>40696</v>
      </c>
      <c r="J205" s="2">
        <v>37717</v>
      </c>
      <c r="K205">
        <v>4</v>
      </c>
      <c r="L205">
        <v>14</v>
      </c>
      <c r="M205" t="s">
        <v>17</v>
      </c>
      <c r="N205" t="str">
        <f t="shared" si="10"/>
        <v>41-50</v>
      </c>
      <c r="O205">
        <f t="shared" si="11"/>
        <v>2011</v>
      </c>
    </row>
    <row r="206" spans="1:15" x14ac:dyDescent="0.25">
      <c r="A206">
        <v>205</v>
      </c>
      <c r="B206" t="s">
        <v>61</v>
      </c>
      <c r="C206" t="s">
        <v>58</v>
      </c>
      <c r="D206" t="str">
        <f t="shared" si="9"/>
        <v>Christopher Clark</v>
      </c>
      <c r="E206" t="s">
        <v>28</v>
      </c>
      <c r="F206">
        <v>41</v>
      </c>
      <c r="G206" t="s">
        <v>39</v>
      </c>
      <c r="H206" t="s">
        <v>34</v>
      </c>
      <c r="I206" s="1">
        <v>44424</v>
      </c>
      <c r="J206" s="2">
        <v>45122</v>
      </c>
      <c r="K206">
        <v>3</v>
      </c>
      <c r="L206">
        <v>4</v>
      </c>
      <c r="M206" t="s">
        <v>17</v>
      </c>
      <c r="N206" t="str">
        <f t="shared" si="10"/>
        <v>41-50</v>
      </c>
      <c r="O206">
        <f t="shared" si="11"/>
        <v>2021</v>
      </c>
    </row>
    <row r="207" spans="1:15" x14ac:dyDescent="0.25">
      <c r="A207">
        <v>206</v>
      </c>
      <c r="B207" t="s">
        <v>73</v>
      </c>
      <c r="C207" t="s">
        <v>48</v>
      </c>
      <c r="D207" t="str">
        <f t="shared" si="9"/>
        <v>Daniel Thompson</v>
      </c>
      <c r="E207" t="s">
        <v>28</v>
      </c>
      <c r="F207">
        <v>39</v>
      </c>
      <c r="G207" t="s">
        <v>41</v>
      </c>
      <c r="H207" t="s">
        <v>31</v>
      </c>
      <c r="I207" s="1">
        <v>41475</v>
      </c>
      <c r="J207" s="2">
        <v>42702</v>
      </c>
      <c r="K207">
        <v>5</v>
      </c>
      <c r="L207">
        <v>12</v>
      </c>
      <c r="M207" t="s">
        <v>17</v>
      </c>
      <c r="N207" t="str">
        <f t="shared" si="10"/>
        <v>31-40</v>
      </c>
      <c r="O207">
        <f t="shared" si="11"/>
        <v>2013</v>
      </c>
    </row>
    <row r="208" spans="1:15" x14ac:dyDescent="0.25">
      <c r="A208">
        <v>207</v>
      </c>
      <c r="B208" t="s">
        <v>60</v>
      </c>
      <c r="C208" t="s">
        <v>46</v>
      </c>
      <c r="D208" t="str">
        <f t="shared" si="9"/>
        <v>Elizabeth Walker</v>
      </c>
      <c r="E208" t="s">
        <v>14</v>
      </c>
      <c r="F208">
        <v>41</v>
      </c>
      <c r="G208" t="s">
        <v>15</v>
      </c>
      <c r="H208" t="s">
        <v>21</v>
      </c>
      <c r="I208" s="1">
        <v>43487</v>
      </c>
      <c r="J208" s="2">
        <v>56141</v>
      </c>
      <c r="K208">
        <v>5</v>
      </c>
      <c r="L208">
        <v>7</v>
      </c>
      <c r="M208" t="s">
        <v>17</v>
      </c>
      <c r="N208" t="str">
        <f t="shared" si="10"/>
        <v>41-50</v>
      </c>
      <c r="O208">
        <f t="shared" si="11"/>
        <v>2019</v>
      </c>
    </row>
    <row r="209" spans="1:15" x14ac:dyDescent="0.25">
      <c r="A209">
        <v>208</v>
      </c>
      <c r="B209" t="s">
        <v>74</v>
      </c>
      <c r="C209" t="s">
        <v>13</v>
      </c>
      <c r="D209" t="str">
        <f t="shared" si="9"/>
        <v>James Martin</v>
      </c>
      <c r="E209" t="s">
        <v>28</v>
      </c>
      <c r="F209">
        <v>30</v>
      </c>
      <c r="G209" t="s">
        <v>20</v>
      </c>
      <c r="H209" t="s">
        <v>31</v>
      </c>
      <c r="I209" s="1">
        <v>45638</v>
      </c>
      <c r="J209" s="2">
        <v>92437</v>
      </c>
      <c r="K209">
        <v>4</v>
      </c>
      <c r="L209">
        <v>1</v>
      </c>
      <c r="M209" t="s">
        <v>17</v>
      </c>
      <c r="N209" t="str">
        <f t="shared" si="10"/>
        <v>20-30</v>
      </c>
      <c r="O209">
        <f t="shared" si="11"/>
        <v>2024</v>
      </c>
    </row>
    <row r="210" spans="1:15" x14ac:dyDescent="0.25">
      <c r="A210">
        <v>209</v>
      </c>
      <c r="B210" t="s">
        <v>12</v>
      </c>
      <c r="C210" t="s">
        <v>19</v>
      </c>
      <c r="D210" t="str">
        <f t="shared" si="9"/>
        <v>Susan Lewis</v>
      </c>
      <c r="E210" t="s">
        <v>14</v>
      </c>
      <c r="F210">
        <v>22</v>
      </c>
      <c r="G210" t="s">
        <v>39</v>
      </c>
      <c r="H210" t="s">
        <v>16</v>
      </c>
      <c r="I210" s="1">
        <v>44101</v>
      </c>
      <c r="J210" s="2">
        <v>77188</v>
      </c>
      <c r="K210">
        <v>4</v>
      </c>
      <c r="L210">
        <v>5</v>
      </c>
      <c r="M210" t="s">
        <v>26</v>
      </c>
      <c r="N210" t="str">
        <f t="shared" si="10"/>
        <v>20-30</v>
      </c>
      <c r="O210">
        <f t="shared" si="11"/>
        <v>2020</v>
      </c>
    </row>
    <row r="211" spans="1:15" x14ac:dyDescent="0.25">
      <c r="A211">
        <v>210</v>
      </c>
      <c r="B211" t="s">
        <v>53</v>
      </c>
      <c r="C211" t="s">
        <v>37</v>
      </c>
      <c r="D211" t="str">
        <f t="shared" si="9"/>
        <v>Linda Taylor</v>
      </c>
      <c r="E211" t="s">
        <v>14</v>
      </c>
      <c r="F211">
        <v>49</v>
      </c>
      <c r="G211" t="s">
        <v>39</v>
      </c>
      <c r="H211" t="s">
        <v>21</v>
      </c>
      <c r="I211" s="1">
        <v>42566</v>
      </c>
      <c r="J211" s="2">
        <v>77192</v>
      </c>
      <c r="K211">
        <v>3</v>
      </c>
      <c r="L211">
        <v>9</v>
      </c>
      <c r="M211" t="s">
        <v>26</v>
      </c>
      <c r="N211" t="str">
        <f t="shared" si="10"/>
        <v>41-50</v>
      </c>
      <c r="O211">
        <f t="shared" si="11"/>
        <v>2016</v>
      </c>
    </row>
    <row r="212" spans="1:15" x14ac:dyDescent="0.25">
      <c r="A212">
        <v>211</v>
      </c>
      <c r="B212" t="s">
        <v>69</v>
      </c>
      <c r="C212" t="s">
        <v>70</v>
      </c>
      <c r="D212" t="str">
        <f t="shared" si="9"/>
        <v>Anna Harris</v>
      </c>
      <c r="E212" t="s">
        <v>14</v>
      </c>
      <c r="F212">
        <v>43</v>
      </c>
      <c r="G212" t="s">
        <v>24</v>
      </c>
      <c r="H212" t="s">
        <v>16</v>
      </c>
      <c r="I212" s="1">
        <v>41317</v>
      </c>
      <c r="J212" s="2">
        <v>79076</v>
      </c>
      <c r="K212">
        <v>4</v>
      </c>
      <c r="L212">
        <v>12</v>
      </c>
      <c r="M212" t="s">
        <v>26</v>
      </c>
      <c r="N212" t="str">
        <f t="shared" si="10"/>
        <v>41-50</v>
      </c>
      <c r="O212">
        <f t="shared" si="11"/>
        <v>2013</v>
      </c>
    </row>
    <row r="213" spans="1:15" x14ac:dyDescent="0.25">
      <c r="A213">
        <v>212</v>
      </c>
      <c r="B213" t="s">
        <v>22</v>
      </c>
      <c r="C213" t="s">
        <v>48</v>
      </c>
      <c r="D213" t="str">
        <f t="shared" si="9"/>
        <v>Olivia Thompson</v>
      </c>
      <c r="E213" t="s">
        <v>14</v>
      </c>
      <c r="F213">
        <v>43</v>
      </c>
      <c r="G213" t="s">
        <v>41</v>
      </c>
      <c r="H213" t="s">
        <v>25</v>
      </c>
      <c r="I213" s="1">
        <v>44021</v>
      </c>
      <c r="J213" s="2">
        <v>55048</v>
      </c>
      <c r="K213">
        <v>4</v>
      </c>
      <c r="L213">
        <v>5</v>
      </c>
      <c r="M213" t="s">
        <v>26</v>
      </c>
      <c r="N213" t="str">
        <f t="shared" si="10"/>
        <v>41-50</v>
      </c>
      <c r="O213">
        <f t="shared" si="11"/>
        <v>2020</v>
      </c>
    </row>
    <row r="214" spans="1:15" x14ac:dyDescent="0.25">
      <c r="A214">
        <v>213</v>
      </c>
      <c r="B214" t="s">
        <v>47</v>
      </c>
      <c r="C214" t="s">
        <v>59</v>
      </c>
      <c r="D214" t="str">
        <f t="shared" si="9"/>
        <v>David Martinez</v>
      </c>
      <c r="E214" t="s">
        <v>28</v>
      </c>
      <c r="F214">
        <v>28</v>
      </c>
      <c r="G214" t="s">
        <v>20</v>
      </c>
      <c r="H214" t="s">
        <v>31</v>
      </c>
      <c r="I214" s="1">
        <v>41586</v>
      </c>
      <c r="J214" s="2">
        <v>25472</v>
      </c>
      <c r="K214">
        <v>5</v>
      </c>
      <c r="L214">
        <v>12</v>
      </c>
      <c r="M214" t="s">
        <v>26</v>
      </c>
      <c r="N214" t="str">
        <f t="shared" si="10"/>
        <v>20-30</v>
      </c>
      <c r="O214">
        <f t="shared" si="11"/>
        <v>2013</v>
      </c>
    </row>
    <row r="215" spans="1:15" x14ac:dyDescent="0.25">
      <c r="A215">
        <v>214</v>
      </c>
      <c r="B215" t="s">
        <v>61</v>
      </c>
      <c r="C215" t="s">
        <v>56</v>
      </c>
      <c r="D215" t="str">
        <f t="shared" si="9"/>
        <v>Christopher Garcia</v>
      </c>
      <c r="E215" t="s">
        <v>28</v>
      </c>
      <c r="F215">
        <v>42</v>
      </c>
      <c r="G215" t="s">
        <v>39</v>
      </c>
      <c r="H215" t="s">
        <v>25</v>
      </c>
      <c r="I215" s="1">
        <v>41661</v>
      </c>
      <c r="J215" s="2">
        <v>57707</v>
      </c>
      <c r="K215">
        <v>2</v>
      </c>
      <c r="L215">
        <v>12</v>
      </c>
      <c r="M215" t="s">
        <v>17</v>
      </c>
      <c r="N215" t="str">
        <f t="shared" si="10"/>
        <v>41-50</v>
      </c>
      <c r="O215">
        <f t="shared" si="11"/>
        <v>2014</v>
      </c>
    </row>
    <row r="216" spans="1:15" x14ac:dyDescent="0.25">
      <c r="A216">
        <v>215</v>
      </c>
      <c r="B216" t="s">
        <v>49</v>
      </c>
      <c r="C216" t="s">
        <v>35</v>
      </c>
      <c r="D216" t="str">
        <f t="shared" si="9"/>
        <v>Barbara Thomas</v>
      </c>
      <c r="E216" t="s">
        <v>14</v>
      </c>
      <c r="F216">
        <v>42</v>
      </c>
      <c r="G216" t="s">
        <v>39</v>
      </c>
      <c r="H216" t="s">
        <v>25</v>
      </c>
      <c r="I216" s="1">
        <v>45011</v>
      </c>
      <c r="J216" s="2">
        <v>75212</v>
      </c>
      <c r="K216">
        <v>3</v>
      </c>
      <c r="L216">
        <v>2</v>
      </c>
      <c r="M216" t="s">
        <v>17</v>
      </c>
      <c r="N216" t="str">
        <f t="shared" si="10"/>
        <v>41-50</v>
      </c>
      <c r="O216">
        <f t="shared" si="11"/>
        <v>2023</v>
      </c>
    </row>
    <row r="217" spans="1:15" x14ac:dyDescent="0.25">
      <c r="A217">
        <v>216</v>
      </c>
      <c r="B217" t="s">
        <v>42</v>
      </c>
      <c r="C217" t="s">
        <v>58</v>
      </c>
      <c r="D217" t="str">
        <f t="shared" si="9"/>
        <v>William Clark</v>
      </c>
      <c r="E217" t="s">
        <v>28</v>
      </c>
      <c r="F217">
        <v>24</v>
      </c>
      <c r="G217" t="s">
        <v>24</v>
      </c>
      <c r="H217" t="s">
        <v>16</v>
      </c>
      <c r="I217" s="1">
        <v>41916</v>
      </c>
      <c r="J217" s="2">
        <v>77253</v>
      </c>
      <c r="K217">
        <v>3</v>
      </c>
      <c r="L217">
        <v>11</v>
      </c>
      <c r="M217" t="s">
        <v>26</v>
      </c>
      <c r="N217" t="str">
        <f t="shared" si="10"/>
        <v>20-30</v>
      </c>
      <c r="O217">
        <f t="shared" si="11"/>
        <v>2014</v>
      </c>
    </row>
    <row r="218" spans="1:15" x14ac:dyDescent="0.25">
      <c r="A218">
        <v>217</v>
      </c>
      <c r="B218" t="s">
        <v>49</v>
      </c>
      <c r="C218" t="s">
        <v>67</v>
      </c>
      <c r="D218" t="str">
        <f t="shared" si="9"/>
        <v>Barbara Brown</v>
      </c>
      <c r="E218" t="s">
        <v>14</v>
      </c>
      <c r="F218">
        <v>53</v>
      </c>
      <c r="G218" t="s">
        <v>15</v>
      </c>
      <c r="H218" t="s">
        <v>21</v>
      </c>
      <c r="I218" s="1">
        <v>40179</v>
      </c>
      <c r="J218" s="2">
        <v>60397</v>
      </c>
      <c r="K218">
        <v>3</v>
      </c>
      <c r="L218">
        <v>16</v>
      </c>
      <c r="M218" t="s">
        <v>17</v>
      </c>
      <c r="N218" t="str">
        <f t="shared" si="10"/>
        <v>51-60</v>
      </c>
      <c r="O218">
        <f t="shared" si="11"/>
        <v>2010</v>
      </c>
    </row>
    <row r="219" spans="1:15" x14ac:dyDescent="0.25">
      <c r="A219">
        <v>218</v>
      </c>
      <c r="B219" t="s">
        <v>51</v>
      </c>
      <c r="C219" t="s">
        <v>64</v>
      </c>
      <c r="D219" t="str">
        <f t="shared" si="9"/>
        <v>Paul Anderson</v>
      </c>
      <c r="E219" t="s">
        <v>28</v>
      </c>
      <c r="F219">
        <v>44</v>
      </c>
      <c r="G219" t="s">
        <v>15</v>
      </c>
      <c r="H219" t="s">
        <v>16</v>
      </c>
      <c r="I219" s="1">
        <v>43538</v>
      </c>
      <c r="J219" s="2">
        <v>37325</v>
      </c>
      <c r="K219">
        <v>3</v>
      </c>
      <c r="L219">
        <v>6</v>
      </c>
      <c r="M219" t="s">
        <v>26</v>
      </c>
      <c r="N219" t="str">
        <f t="shared" si="10"/>
        <v>41-50</v>
      </c>
      <c r="O219">
        <f t="shared" si="11"/>
        <v>2019</v>
      </c>
    </row>
    <row r="220" spans="1:15" x14ac:dyDescent="0.25">
      <c r="A220">
        <v>219</v>
      </c>
      <c r="B220" t="s">
        <v>57</v>
      </c>
      <c r="C220" t="s">
        <v>13</v>
      </c>
      <c r="D220" t="str">
        <f t="shared" si="9"/>
        <v>Patricia Martin</v>
      </c>
      <c r="E220" t="s">
        <v>14</v>
      </c>
      <c r="F220">
        <v>24</v>
      </c>
      <c r="G220" t="s">
        <v>41</v>
      </c>
      <c r="H220" t="s">
        <v>31</v>
      </c>
      <c r="I220" s="1">
        <v>40509</v>
      </c>
      <c r="J220" s="2">
        <v>52772</v>
      </c>
      <c r="K220">
        <v>4</v>
      </c>
      <c r="L220">
        <v>15</v>
      </c>
      <c r="M220" t="s">
        <v>17</v>
      </c>
      <c r="N220" t="str">
        <f t="shared" si="10"/>
        <v>20-30</v>
      </c>
      <c r="O220">
        <f t="shared" si="11"/>
        <v>2010</v>
      </c>
    </row>
    <row r="221" spans="1:15" x14ac:dyDescent="0.25">
      <c r="A221">
        <v>220</v>
      </c>
      <c r="B221" t="s">
        <v>36</v>
      </c>
      <c r="C221" t="s">
        <v>66</v>
      </c>
      <c r="D221" t="str">
        <f t="shared" si="9"/>
        <v>Michael Robinson</v>
      </c>
      <c r="E221" t="s">
        <v>28</v>
      </c>
      <c r="F221">
        <v>36</v>
      </c>
      <c r="G221" t="s">
        <v>20</v>
      </c>
      <c r="H221" t="s">
        <v>31</v>
      </c>
      <c r="I221" s="1">
        <v>43146</v>
      </c>
      <c r="J221" s="2">
        <v>66777</v>
      </c>
      <c r="K221">
        <v>1</v>
      </c>
      <c r="L221">
        <v>7</v>
      </c>
      <c r="M221" t="s">
        <v>17</v>
      </c>
      <c r="N221" t="str">
        <f t="shared" si="10"/>
        <v>31-40</v>
      </c>
      <c r="O221">
        <f t="shared" si="11"/>
        <v>2018</v>
      </c>
    </row>
    <row r="222" spans="1:15" x14ac:dyDescent="0.25">
      <c r="A222">
        <v>221</v>
      </c>
      <c r="B222" t="s">
        <v>38</v>
      </c>
      <c r="C222" t="s">
        <v>19</v>
      </c>
      <c r="D222" t="str">
        <f t="shared" si="9"/>
        <v>Mary Lewis</v>
      </c>
      <c r="E222" t="s">
        <v>14</v>
      </c>
      <c r="F222">
        <v>25</v>
      </c>
      <c r="G222" t="s">
        <v>55</v>
      </c>
      <c r="H222" t="s">
        <v>31</v>
      </c>
      <c r="I222" s="1">
        <v>44356</v>
      </c>
      <c r="J222" s="2">
        <v>40843</v>
      </c>
      <c r="K222">
        <v>2</v>
      </c>
      <c r="L222">
        <v>4</v>
      </c>
      <c r="M222" t="s">
        <v>26</v>
      </c>
      <c r="N222" t="str">
        <f t="shared" si="10"/>
        <v>20-30</v>
      </c>
      <c r="O222">
        <f t="shared" si="11"/>
        <v>2021</v>
      </c>
    </row>
    <row r="223" spans="1:15" x14ac:dyDescent="0.25">
      <c r="A223">
        <v>222</v>
      </c>
      <c r="B223" t="s">
        <v>50</v>
      </c>
      <c r="C223" t="s">
        <v>58</v>
      </c>
      <c r="D223" t="str">
        <f t="shared" si="9"/>
        <v>Anthony Clark</v>
      </c>
      <c r="E223" t="s">
        <v>28</v>
      </c>
      <c r="F223">
        <v>46</v>
      </c>
      <c r="G223" t="s">
        <v>24</v>
      </c>
      <c r="H223" t="s">
        <v>16</v>
      </c>
      <c r="I223" s="1">
        <v>43598</v>
      </c>
      <c r="J223" s="2">
        <v>91311</v>
      </c>
      <c r="K223">
        <v>4</v>
      </c>
      <c r="L223">
        <v>6</v>
      </c>
      <c r="M223" t="s">
        <v>26</v>
      </c>
      <c r="N223" t="str">
        <f t="shared" si="10"/>
        <v>41-50</v>
      </c>
      <c r="O223">
        <f t="shared" si="11"/>
        <v>2019</v>
      </c>
    </row>
    <row r="224" spans="1:15" x14ac:dyDescent="0.25">
      <c r="A224">
        <v>223</v>
      </c>
      <c r="B224" t="s">
        <v>72</v>
      </c>
      <c r="C224" t="s">
        <v>59</v>
      </c>
      <c r="D224" t="str">
        <f t="shared" si="9"/>
        <v>Emma Martinez</v>
      </c>
      <c r="E224" t="s">
        <v>14</v>
      </c>
      <c r="F224">
        <v>37</v>
      </c>
      <c r="G224" t="s">
        <v>15</v>
      </c>
      <c r="H224" t="s">
        <v>31</v>
      </c>
      <c r="I224" s="1">
        <v>43111</v>
      </c>
      <c r="J224" s="2">
        <v>42911</v>
      </c>
      <c r="K224">
        <v>3</v>
      </c>
      <c r="L224">
        <v>8</v>
      </c>
      <c r="M224" t="s">
        <v>26</v>
      </c>
      <c r="N224" t="str">
        <f t="shared" si="10"/>
        <v>31-40</v>
      </c>
      <c r="O224">
        <f t="shared" si="11"/>
        <v>2018</v>
      </c>
    </row>
    <row r="225" spans="1:15" x14ac:dyDescent="0.25">
      <c r="A225">
        <v>224</v>
      </c>
      <c r="B225" t="s">
        <v>27</v>
      </c>
      <c r="C225" t="s">
        <v>54</v>
      </c>
      <c r="D225" t="str">
        <f t="shared" si="9"/>
        <v>Robert Smith</v>
      </c>
      <c r="E225" t="s">
        <v>28</v>
      </c>
      <c r="F225">
        <v>44</v>
      </c>
      <c r="G225" t="s">
        <v>15</v>
      </c>
      <c r="H225" t="s">
        <v>21</v>
      </c>
      <c r="I225" s="1">
        <v>41741</v>
      </c>
      <c r="J225" s="2">
        <v>75458</v>
      </c>
      <c r="K225">
        <v>4</v>
      </c>
      <c r="L225">
        <v>11</v>
      </c>
      <c r="M225" t="s">
        <v>17</v>
      </c>
      <c r="N225" t="str">
        <f t="shared" si="10"/>
        <v>41-50</v>
      </c>
      <c r="O225">
        <f t="shared" si="11"/>
        <v>2014</v>
      </c>
    </row>
    <row r="226" spans="1:15" x14ac:dyDescent="0.25">
      <c r="A226">
        <v>225</v>
      </c>
      <c r="B226" t="s">
        <v>65</v>
      </c>
      <c r="C226" t="s">
        <v>13</v>
      </c>
      <c r="D226" t="str">
        <f t="shared" si="9"/>
        <v>Charles Martin</v>
      </c>
      <c r="E226" t="s">
        <v>28</v>
      </c>
      <c r="F226">
        <v>54</v>
      </c>
      <c r="G226" t="s">
        <v>20</v>
      </c>
      <c r="H226" t="s">
        <v>25</v>
      </c>
      <c r="I226" s="1">
        <v>42337</v>
      </c>
      <c r="J226" s="2">
        <v>46463</v>
      </c>
      <c r="K226">
        <v>2</v>
      </c>
      <c r="L226">
        <v>10</v>
      </c>
      <c r="M226" t="s">
        <v>17</v>
      </c>
      <c r="N226" t="str">
        <f t="shared" si="10"/>
        <v>51-60</v>
      </c>
      <c r="O226">
        <f t="shared" si="11"/>
        <v>2015</v>
      </c>
    </row>
    <row r="227" spans="1:15" x14ac:dyDescent="0.25">
      <c r="A227">
        <v>226</v>
      </c>
      <c r="B227" t="s">
        <v>61</v>
      </c>
      <c r="C227" t="s">
        <v>52</v>
      </c>
      <c r="D227" t="str">
        <f t="shared" si="9"/>
        <v>Christopher Allen</v>
      </c>
      <c r="E227" t="s">
        <v>28</v>
      </c>
      <c r="F227">
        <v>57</v>
      </c>
      <c r="G227" t="s">
        <v>41</v>
      </c>
      <c r="H227" t="s">
        <v>31</v>
      </c>
      <c r="I227" s="1">
        <v>42999</v>
      </c>
      <c r="J227" s="2">
        <v>25512</v>
      </c>
      <c r="K227">
        <v>4</v>
      </c>
      <c r="L227">
        <v>8</v>
      </c>
      <c r="M227" t="s">
        <v>26</v>
      </c>
      <c r="N227" t="str">
        <f t="shared" si="10"/>
        <v>51-60</v>
      </c>
      <c r="O227">
        <f t="shared" si="11"/>
        <v>2017</v>
      </c>
    </row>
    <row r="228" spans="1:15" x14ac:dyDescent="0.25">
      <c r="A228">
        <v>227</v>
      </c>
      <c r="B228" t="s">
        <v>62</v>
      </c>
      <c r="C228" t="s">
        <v>23</v>
      </c>
      <c r="D228" t="str">
        <f t="shared" si="9"/>
        <v>Jessica Johnson</v>
      </c>
      <c r="E228" t="s">
        <v>14</v>
      </c>
      <c r="F228">
        <v>22</v>
      </c>
      <c r="G228" t="s">
        <v>24</v>
      </c>
      <c r="H228" t="s">
        <v>31</v>
      </c>
      <c r="I228" s="1">
        <v>40415</v>
      </c>
      <c r="J228" s="2">
        <v>26552</v>
      </c>
      <c r="K228">
        <v>5</v>
      </c>
      <c r="L228">
        <v>15</v>
      </c>
      <c r="M228" t="s">
        <v>17</v>
      </c>
      <c r="N228" t="str">
        <f t="shared" si="10"/>
        <v>20-30</v>
      </c>
      <c r="O228">
        <f t="shared" si="11"/>
        <v>2010</v>
      </c>
    </row>
    <row r="229" spans="1:15" x14ac:dyDescent="0.25">
      <c r="A229">
        <v>228</v>
      </c>
      <c r="B229" t="s">
        <v>12</v>
      </c>
      <c r="C229" t="s">
        <v>33</v>
      </c>
      <c r="D229" t="str">
        <f t="shared" si="9"/>
        <v>Susan Hall</v>
      </c>
      <c r="E229" t="s">
        <v>14</v>
      </c>
      <c r="F229">
        <v>36</v>
      </c>
      <c r="G229" t="s">
        <v>55</v>
      </c>
      <c r="H229" t="s">
        <v>31</v>
      </c>
      <c r="I229" s="1">
        <v>41087</v>
      </c>
      <c r="J229" s="2">
        <v>94355</v>
      </c>
      <c r="K229">
        <v>5</v>
      </c>
      <c r="L229">
        <v>13</v>
      </c>
      <c r="M229" t="s">
        <v>26</v>
      </c>
      <c r="N229" t="str">
        <f t="shared" si="10"/>
        <v>31-40</v>
      </c>
      <c r="O229">
        <f t="shared" si="11"/>
        <v>2012</v>
      </c>
    </row>
    <row r="230" spans="1:15" x14ac:dyDescent="0.25">
      <c r="A230">
        <v>229</v>
      </c>
      <c r="B230" t="s">
        <v>36</v>
      </c>
      <c r="C230" t="s">
        <v>35</v>
      </c>
      <c r="D230" t="str">
        <f t="shared" si="9"/>
        <v>Michael Thomas</v>
      </c>
      <c r="E230" t="s">
        <v>28</v>
      </c>
      <c r="F230">
        <v>50</v>
      </c>
      <c r="G230" t="s">
        <v>24</v>
      </c>
      <c r="H230" t="s">
        <v>25</v>
      </c>
      <c r="I230" s="1">
        <v>45024</v>
      </c>
      <c r="J230" s="2">
        <v>89763</v>
      </c>
      <c r="K230">
        <v>5</v>
      </c>
      <c r="L230">
        <v>2</v>
      </c>
      <c r="M230" t="s">
        <v>17</v>
      </c>
      <c r="N230" t="str">
        <f t="shared" si="10"/>
        <v>41-50</v>
      </c>
      <c r="O230">
        <f t="shared" si="11"/>
        <v>2023</v>
      </c>
    </row>
    <row r="231" spans="1:15" x14ac:dyDescent="0.25">
      <c r="A231">
        <v>230</v>
      </c>
      <c r="B231" t="s">
        <v>38</v>
      </c>
      <c r="C231" t="s">
        <v>37</v>
      </c>
      <c r="D231" t="str">
        <f t="shared" si="9"/>
        <v>Mary Taylor</v>
      </c>
      <c r="E231" t="s">
        <v>14</v>
      </c>
      <c r="F231">
        <v>29</v>
      </c>
      <c r="G231" t="s">
        <v>24</v>
      </c>
      <c r="H231" t="s">
        <v>21</v>
      </c>
      <c r="I231" s="1">
        <v>43554</v>
      </c>
      <c r="J231" s="2">
        <v>83411</v>
      </c>
      <c r="K231">
        <v>4</v>
      </c>
      <c r="L231">
        <v>6</v>
      </c>
      <c r="M231" t="s">
        <v>26</v>
      </c>
      <c r="N231" t="str">
        <f t="shared" si="10"/>
        <v>20-30</v>
      </c>
      <c r="O231">
        <f t="shared" si="11"/>
        <v>2019</v>
      </c>
    </row>
    <row r="232" spans="1:15" x14ac:dyDescent="0.25">
      <c r="A232">
        <v>231</v>
      </c>
      <c r="B232" t="s">
        <v>44</v>
      </c>
      <c r="C232" t="s">
        <v>23</v>
      </c>
      <c r="D232" t="str">
        <f t="shared" si="9"/>
        <v>Sophia Johnson</v>
      </c>
      <c r="E232" t="s">
        <v>14</v>
      </c>
      <c r="F232">
        <v>36</v>
      </c>
      <c r="G232" t="s">
        <v>24</v>
      </c>
      <c r="H232" t="s">
        <v>34</v>
      </c>
      <c r="I232" s="1">
        <v>45082</v>
      </c>
      <c r="J232" s="2">
        <v>28152</v>
      </c>
      <c r="K232">
        <v>3</v>
      </c>
      <c r="L232">
        <v>2</v>
      </c>
      <c r="M232" t="s">
        <v>17</v>
      </c>
      <c r="N232" t="str">
        <f t="shared" si="10"/>
        <v>31-40</v>
      </c>
      <c r="O232">
        <f t="shared" si="11"/>
        <v>2023</v>
      </c>
    </row>
    <row r="233" spans="1:15" x14ac:dyDescent="0.25">
      <c r="A233">
        <v>232</v>
      </c>
      <c r="B233" t="s">
        <v>44</v>
      </c>
      <c r="C233" t="s">
        <v>48</v>
      </c>
      <c r="D233" t="str">
        <f t="shared" si="9"/>
        <v>Sophia Thompson</v>
      </c>
      <c r="E233" t="s">
        <v>14</v>
      </c>
      <c r="F233">
        <v>41</v>
      </c>
      <c r="G233" t="s">
        <v>41</v>
      </c>
      <c r="H233" t="s">
        <v>25</v>
      </c>
      <c r="I233" s="1">
        <v>43081</v>
      </c>
      <c r="J233" s="2">
        <v>63208</v>
      </c>
      <c r="K233">
        <v>5</v>
      </c>
      <c r="L233">
        <v>8</v>
      </c>
      <c r="M233" t="s">
        <v>17</v>
      </c>
      <c r="N233" t="str">
        <f t="shared" si="10"/>
        <v>41-50</v>
      </c>
      <c r="O233">
        <f t="shared" si="11"/>
        <v>2017</v>
      </c>
    </row>
    <row r="234" spans="1:15" x14ac:dyDescent="0.25">
      <c r="A234">
        <v>233</v>
      </c>
      <c r="B234" t="s">
        <v>29</v>
      </c>
      <c r="C234" t="s">
        <v>37</v>
      </c>
      <c r="D234" t="str">
        <f t="shared" si="9"/>
        <v>Jennifer Taylor</v>
      </c>
      <c r="E234" t="s">
        <v>14</v>
      </c>
      <c r="F234">
        <v>26</v>
      </c>
      <c r="G234" t="s">
        <v>41</v>
      </c>
      <c r="H234" t="s">
        <v>31</v>
      </c>
      <c r="I234" s="1">
        <v>41977</v>
      </c>
      <c r="J234" s="2">
        <v>65290</v>
      </c>
      <c r="K234">
        <v>1</v>
      </c>
      <c r="L234">
        <v>11</v>
      </c>
      <c r="M234" t="s">
        <v>26</v>
      </c>
      <c r="N234" t="str">
        <f t="shared" si="10"/>
        <v>20-30</v>
      </c>
      <c r="O234">
        <f t="shared" si="11"/>
        <v>2014</v>
      </c>
    </row>
    <row r="235" spans="1:15" x14ac:dyDescent="0.25">
      <c r="A235">
        <v>234</v>
      </c>
      <c r="B235" t="s">
        <v>60</v>
      </c>
      <c r="C235" t="s">
        <v>33</v>
      </c>
      <c r="D235" t="str">
        <f t="shared" si="9"/>
        <v>Elizabeth Hall</v>
      </c>
      <c r="E235" t="s">
        <v>14</v>
      </c>
      <c r="F235">
        <v>48</v>
      </c>
      <c r="G235" t="s">
        <v>20</v>
      </c>
      <c r="H235" t="s">
        <v>34</v>
      </c>
      <c r="I235" s="1">
        <v>41316</v>
      </c>
      <c r="J235" s="2">
        <v>70208</v>
      </c>
      <c r="K235">
        <v>5</v>
      </c>
      <c r="L235">
        <v>12</v>
      </c>
      <c r="M235" t="s">
        <v>26</v>
      </c>
      <c r="N235" t="str">
        <f t="shared" si="10"/>
        <v>41-50</v>
      </c>
      <c r="O235">
        <f t="shared" si="11"/>
        <v>2013</v>
      </c>
    </row>
    <row r="236" spans="1:15" x14ac:dyDescent="0.25">
      <c r="A236">
        <v>235</v>
      </c>
      <c r="B236" t="s">
        <v>61</v>
      </c>
      <c r="C236" t="s">
        <v>13</v>
      </c>
      <c r="D236" t="str">
        <f t="shared" si="9"/>
        <v>Christopher Martin</v>
      </c>
      <c r="E236" t="s">
        <v>28</v>
      </c>
      <c r="F236">
        <v>36</v>
      </c>
      <c r="G236" t="s">
        <v>15</v>
      </c>
      <c r="H236" t="s">
        <v>34</v>
      </c>
      <c r="I236" s="1">
        <v>42601</v>
      </c>
      <c r="J236" s="2">
        <v>37370</v>
      </c>
      <c r="K236">
        <v>5</v>
      </c>
      <c r="L236">
        <v>9</v>
      </c>
      <c r="M236" t="s">
        <v>26</v>
      </c>
      <c r="N236" t="str">
        <f t="shared" si="10"/>
        <v>31-40</v>
      </c>
      <c r="O236">
        <f t="shared" si="11"/>
        <v>2016</v>
      </c>
    </row>
    <row r="237" spans="1:15" x14ac:dyDescent="0.25">
      <c r="A237">
        <v>236</v>
      </c>
      <c r="B237" t="s">
        <v>61</v>
      </c>
      <c r="C237" t="s">
        <v>37</v>
      </c>
      <c r="D237" t="str">
        <f t="shared" si="9"/>
        <v>Christopher Taylor</v>
      </c>
      <c r="E237" t="s">
        <v>28</v>
      </c>
      <c r="F237">
        <v>58</v>
      </c>
      <c r="G237" t="s">
        <v>20</v>
      </c>
      <c r="H237" t="s">
        <v>16</v>
      </c>
      <c r="I237" s="1">
        <v>45585</v>
      </c>
      <c r="J237" s="2">
        <v>79105</v>
      </c>
      <c r="K237">
        <v>1</v>
      </c>
      <c r="L237">
        <v>1</v>
      </c>
      <c r="M237" t="s">
        <v>17</v>
      </c>
      <c r="N237" t="str">
        <f t="shared" si="10"/>
        <v>51-60</v>
      </c>
      <c r="O237">
        <f t="shared" si="11"/>
        <v>2024</v>
      </c>
    </row>
    <row r="238" spans="1:15" x14ac:dyDescent="0.25">
      <c r="A238">
        <v>237</v>
      </c>
      <c r="B238" t="s">
        <v>71</v>
      </c>
      <c r="C238" t="s">
        <v>30</v>
      </c>
      <c r="D238" t="str">
        <f t="shared" si="9"/>
        <v>Joseph Lee</v>
      </c>
      <c r="E238" t="s">
        <v>28</v>
      </c>
      <c r="F238">
        <v>31</v>
      </c>
      <c r="G238" t="s">
        <v>24</v>
      </c>
      <c r="H238" t="s">
        <v>21</v>
      </c>
      <c r="I238" s="1">
        <v>41019</v>
      </c>
      <c r="J238" s="2">
        <v>48381</v>
      </c>
      <c r="K238">
        <v>5</v>
      </c>
      <c r="L238">
        <v>13</v>
      </c>
      <c r="M238" t="s">
        <v>17</v>
      </c>
      <c r="N238" t="str">
        <f t="shared" si="10"/>
        <v>31-40</v>
      </c>
      <c r="O238">
        <f t="shared" si="11"/>
        <v>2012</v>
      </c>
    </row>
    <row r="239" spans="1:15" x14ac:dyDescent="0.25">
      <c r="A239">
        <v>238</v>
      </c>
      <c r="B239" t="s">
        <v>42</v>
      </c>
      <c r="C239" t="s">
        <v>45</v>
      </c>
      <c r="D239" t="str">
        <f t="shared" si="9"/>
        <v>William White</v>
      </c>
      <c r="E239" t="s">
        <v>28</v>
      </c>
      <c r="F239">
        <v>51</v>
      </c>
      <c r="G239" t="s">
        <v>15</v>
      </c>
      <c r="H239" t="s">
        <v>21</v>
      </c>
      <c r="I239" s="1">
        <v>44786</v>
      </c>
      <c r="J239" s="2">
        <v>72609</v>
      </c>
      <c r="K239">
        <v>1</v>
      </c>
      <c r="L239">
        <v>3</v>
      </c>
      <c r="M239" t="s">
        <v>17</v>
      </c>
      <c r="N239" t="str">
        <f t="shared" si="10"/>
        <v>51-60</v>
      </c>
      <c r="O239">
        <f t="shared" si="11"/>
        <v>2022</v>
      </c>
    </row>
    <row r="240" spans="1:15" x14ac:dyDescent="0.25">
      <c r="A240">
        <v>239</v>
      </c>
      <c r="B240" t="s">
        <v>53</v>
      </c>
      <c r="C240" t="s">
        <v>66</v>
      </c>
      <c r="D240" t="str">
        <f t="shared" si="9"/>
        <v>Linda Robinson</v>
      </c>
      <c r="E240" t="s">
        <v>14</v>
      </c>
      <c r="F240">
        <v>56</v>
      </c>
      <c r="G240" t="s">
        <v>55</v>
      </c>
      <c r="H240" t="s">
        <v>21</v>
      </c>
      <c r="I240" s="1">
        <v>41042</v>
      </c>
      <c r="J240" s="2">
        <v>82533</v>
      </c>
      <c r="K240">
        <v>3</v>
      </c>
      <c r="L240">
        <v>13</v>
      </c>
      <c r="M240" t="s">
        <v>26</v>
      </c>
      <c r="N240" t="str">
        <f t="shared" si="10"/>
        <v>51-60</v>
      </c>
      <c r="O240">
        <f t="shared" si="11"/>
        <v>2012</v>
      </c>
    </row>
    <row r="241" spans="1:15" x14ac:dyDescent="0.25">
      <c r="A241">
        <v>240</v>
      </c>
      <c r="B241" t="s">
        <v>63</v>
      </c>
      <c r="C241" t="s">
        <v>35</v>
      </c>
      <c r="D241" t="str">
        <f t="shared" si="9"/>
        <v>Steven Thomas</v>
      </c>
      <c r="E241" t="s">
        <v>28</v>
      </c>
      <c r="F241">
        <v>45</v>
      </c>
      <c r="G241" t="s">
        <v>41</v>
      </c>
      <c r="H241" t="s">
        <v>16</v>
      </c>
      <c r="I241" s="1">
        <v>42425</v>
      </c>
      <c r="J241" s="2">
        <v>87257</v>
      </c>
      <c r="K241">
        <v>1</v>
      </c>
      <c r="L241">
        <v>9</v>
      </c>
      <c r="M241" t="s">
        <v>17</v>
      </c>
      <c r="N241" t="str">
        <f t="shared" si="10"/>
        <v>41-50</v>
      </c>
      <c r="O241">
        <f t="shared" si="11"/>
        <v>2016</v>
      </c>
    </row>
    <row r="242" spans="1:15" x14ac:dyDescent="0.25">
      <c r="A242">
        <v>241</v>
      </c>
      <c r="B242" t="s">
        <v>65</v>
      </c>
      <c r="C242" t="s">
        <v>52</v>
      </c>
      <c r="D242" t="str">
        <f t="shared" si="9"/>
        <v>Charles Allen</v>
      </c>
      <c r="E242" t="s">
        <v>28</v>
      </c>
      <c r="F242">
        <v>58</v>
      </c>
      <c r="G242" t="s">
        <v>55</v>
      </c>
      <c r="H242" t="s">
        <v>16</v>
      </c>
      <c r="I242" s="1">
        <v>44763</v>
      </c>
      <c r="J242" s="2">
        <v>41407</v>
      </c>
      <c r="K242">
        <v>4</v>
      </c>
      <c r="L242">
        <v>3</v>
      </c>
      <c r="M242" t="s">
        <v>17</v>
      </c>
      <c r="N242" t="str">
        <f t="shared" si="10"/>
        <v>51-60</v>
      </c>
      <c r="O242">
        <f t="shared" si="11"/>
        <v>2022</v>
      </c>
    </row>
    <row r="243" spans="1:15" x14ac:dyDescent="0.25">
      <c r="A243">
        <v>242</v>
      </c>
      <c r="B243" t="s">
        <v>63</v>
      </c>
      <c r="C243" t="s">
        <v>58</v>
      </c>
      <c r="D243" t="str">
        <f t="shared" si="9"/>
        <v>Steven Clark</v>
      </c>
      <c r="E243" t="s">
        <v>28</v>
      </c>
      <c r="F243">
        <v>41</v>
      </c>
      <c r="G243" t="s">
        <v>15</v>
      </c>
      <c r="H243" t="s">
        <v>31</v>
      </c>
      <c r="I243" s="1">
        <v>42533</v>
      </c>
      <c r="J243" s="2">
        <v>37729</v>
      </c>
      <c r="K243">
        <v>1</v>
      </c>
      <c r="L243">
        <v>9</v>
      </c>
      <c r="M243" t="s">
        <v>26</v>
      </c>
      <c r="N243" t="str">
        <f t="shared" si="10"/>
        <v>41-50</v>
      </c>
      <c r="O243">
        <f t="shared" si="11"/>
        <v>2016</v>
      </c>
    </row>
    <row r="244" spans="1:15" x14ac:dyDescent="0.25">
      <c r="A244">
        <v>243</v>
      </c>
      <c r="B244" t="s">
        <v>68</v>
      </c>
      <c r="C244" t="s">
        <v>37</v>
      </c>
      <c r="D244" t="str">
        <f t="shared" si="9"/>
        <v>Mark Taylor</v>
      </c>
      <c r="E244" t="s">
        <v>28</v>
      </c>
      <c r="F244">
        <v>45</v>
      </c>
      <c r="G244" t="s">
        <v>24</v>
      </c>
      <c r="H244" t="s">
        <v>34</v>
      </c>
      <c r="I244" s="1">
        <v>43355</v>
      </c>
      <c r="J244" s="2">
        <v>29719</v>
      </c>
      <c r="K244">
        <v>5</v>
      </c>
      <c r="L244">
        <v>7</v>
      </c>
      <c r="M244" t="s">
        <v>26</v>
      </c>
      <c r="N244" t="str">
        <f t="shared" si="10"/>
        <v>41-50</v>
      </c>
      <c r="O244">
        <f t="shared" si="11"/>
        <v>2018</v>
      </c>
    </row>
    <row r="245" spans="1:15" x14ac:dyDescent="0.25">
      <c r="A245">
        <v>244</v>
      </c>
      <c r="B245" t="s">
        <v>63</v>
      </c>
      <c r="C245" t="s">
        <v>45</v>
      </c>
      <c r="D245" t="str">
        <f t="shared" si="9"/>
        <v>Steven White</v>
      </c>
      <c r="E245" t="s">
        <v>28</v>
      </c>
      <c r="F245">
        <v>48</v>
      </c>
      <c r="G245" t="s">
        <v>39</v>
      </c>
      <c r="H245" t="s">
        <v>25</v>
      </c>
      <c r="I245" s="1">
        <v>40990</v>
      </c>
      <c r="J245" s="2">
        <v>69712</v>
      </c>
      <c r="K245">
        <v>4</v>
      </c>
      <c r="L245">
        <v>13</v>
      </c>
      <c r="M245" t="s">
        <v>26</v>
      </c>
      <c r="N245" t="str">
        <f t="shared" si="10"/>
        <v>41-50</v>
      </c>
      <c r="O245">
        <f t="shared" si="11"/>
        <v>2012</v>
      </c>
    </row>
    <row r="246" spans="1:15" x14ac:dyDescent="0.25">
      <c r="A246">
        <v>245</v>
      </c>
      <c r="B246" t="s">
        <v>60</v>
      </c>
      <c r="C246" t="s">
        <v>58</v>
      </c>
      <c r="D246" t="str">
        <f t="shared" si="9"/>
        <v>Elizabeth Clark</v>
      </c>
      <c r="E246" t="s">
        <v>14</v>
      </c>
      <c r="F246">
        <v>38</v>
      </c>
      <c r="G246" t="s">
        <v>15</v>
      </c>
      <c r="H246" t="s">
        <v>21</v>
      </c>
      <c r="I246" s="1">
        <v>43132</v>
      </c>
      <c r="J246" s="2">
        <v>67637</v>
      </c>
      <c r="K246">
        <v>3</v>
      </c>
      <c r="L246">
        <v>8</v>
      </c>
      <c r="M246" t="s">
        <v>17</v>
      </c>
      <c r="N246" t="str">
        <f t="shared" si="10"/>
        <v>31-40</v>
      </c>
      <c r="O246">
        <f t="shared" si="11"/>
        <v>2018</v>
      </c>
    </row>
    <row r="247" spans="1:15" x14ac:dyDescent="0.25">
      <c r="A247">
        <v>246</v>
      </c>
      <c r="B247" t="s">
        <v>40</v>
      </c>
      <c r="C247" t="s">
        <v>64</v>
      </c>
      <c r="D247" t="str">
        <f t="shared" si="9"/>
        <v>John Anderson</v>
      </c>
      <c r="E247" t="s">
        <v>28</v>
      </c>
      <c r="F247">
        <v>38</v>
      </c>
      <c r="G247" t="s">
        <v>41</v>
      </c>
      <c r="H247" t="s">
        <v>31</v>
      </c>
      <c r="I247" s="1">
        <v>45121</v>
      </c>
      <c r="J247" s="2">
        <v>25300</v>
      </c>
      <c r="K247">
        <v>1</v>
      </c>
      <c r="L247">
        <v>2</v>
      </c>
      <c r="M247" t="s">
        <v>17</v>
      </c>
      <c r="N247" t="str">
        <f t="shared" si="10"/>
        <v>31-40</v>
      </c>
      <c r="O247">
        <f t="shared" si="11"/>
        <v>2023</v>
      </c>
    </row>
    <row r="248" spans="1:15" x14ac:dyDescent="0.25">
      <c r="A248">
        <v>247</v>
      </c>
      <c r="B248" t="s">
        <v>53</v>
      </c>
      <c r="C248" t="s">
        <v>54</v>
      </c>
      <c r="D248" t="str">
        <f t="shared" si="9"/>
        <v>Linda Smith</v>
      </c>
      <c r="E248" t="s">
        <v>14</v>
      </c>
      <c r="F248">
        <v>30</v>
      </c>
      <c r="G248" t="s">
        <v>41</v>
      </c>
      <c r="H248" t="s">
        <v>21</v>
      </c>
      <c r="I248" s="1">
        <v>42105</v>
      </c>
      <c r="J248" s="2">
        <v>68980</v>
      </c>
      <c r="K248">
        <v>4</v>
      </c>
      <c r="L248">
        <v>10</v>
      </c>
      <c r="M248" t="s">
        <v>17</v>
      </c>
      <c r="N248" t="str">
        <f t="shared" si="10"/>
        <v>20-30</v>
      </c>
      <c r="O248">
        <f t="shared" si="11"/>
        <v>2015</v>
      </c>
    </row>
    <row r="249" spans="1:15" x14ac:dyDescent="0.25">
      <c r="A249">
        <v>248</v>
      </c>
      <c r="B249" t="s">
        <v>38</v>
      </c>
      <c r="C249" t="s">
        <v>48</v>
      </c>
      <c r="D249" t="str">
        <f t="shared" si="9"/>
        <v>Mary Thompson</v>
      </c>
      <c r="E249" t="s">
        <v>14</v>
      </c>
      <c r="F249">
        <v>43</v>
      </c>
      <c r="G249" t="s">
        <v>41</v>
      </c>
      <c r="H249" t="s">
        <v>21</v>
      </c>
      <c r="I249" s="1">
        <v>42487</v>
      </c>
      <c r="J249" s="2">
        <v>48100</v>
      </c>
      <c r="K249">
        <v>2</v>
      </c>
      <c r="L249">
        <v>9</v>
      </c>
      <c r="M249" t="s">
        <v>17</v>
      </c>
      <c r="N249" t="str">
        <f t="shared" si="10"/>
        <v>41-50</v>
      </c>
      <c r="O249">
        <f t="shared" si="11"/>
        <v>2016</v>
      </c>
    </row>
    <row r="250" spans="1:15" x14ac:dyDescent="0.25">
      <c r="A250">
        <v>249</v>
      </c>
      <c r="B250" t="s">
        <v>36</v>
      </c>
      <c r="C250" t="s">
        <v>23</v>
      </c>
      <c r="D250" t="str">
        <f t="shared" si="9"/>
        <v>Michael Johnson</v>
      </c>
      <c r="E250" t="s">
        <v>28</v>
      </c>
      <c r="F250">
        <v>26</v>
      </c>
      <c r="G250" t="s">
        <v>39</v>
      </c>
      <c r="H250" t="s">
        <v>21</v>
      </c>
      <c r="I250" s="1">
        <v>43203</v>
      </c>
      <c r="J250" s="2">
        <v>49101</v>
      </c>
      <c r="K250">
        <v>4</v>
      </c>
      <c r="L250">
        <v>7</v>
      </c>
      <c r="M250" t="s">
        <v>26</v>
      </c>
      <c r="N250" t="str">
        <f t="shared" si="10"/>
        <v>20-30</v>
      </c>
      <c r="O250">
        <f t="shared" si="11"/>
        <v>2018</v>
      </c>
    </row>
    <row r="251" spans="1:15" x14ac:dyDescent="0.25">
      <c r="A251">
        <v>250</v>
      </c>
      <c r="B251" t="s">
        <v>50</v>
      </c>
      <c r="C251" t="s">
        <v>48</v>
      </c>
      <c r="D251" t="str">
        <f t="shared" si="9"/>
        <v>Anthony Thompson</v>
      </c>
      <c r="E251" t="s">
        <v>28</v>
      </c>
      <c r="F251">
        <v>40</v>
      </c>
      <c r="G251" t="s">
        <v>15</v>
      </c>
      <c r="H251" t="s">
        <v>25</v>
      </c>
      <c r="I251" s="1">
        <v>42117</v>
      </c>
      <c r="J251" s="2">
        <v>57583</v>
      </c>
      <c r="K251">
        <v>3</v>
      </c>
      <c r="L251">
        <v>10</v>
      </c>
      <c r="M251" t="s">
        <v>26</v>
      </c>
      <c r="N251" t="str">
        <f t="shared" si="10"/>
        <v>31-40</v>
      </c>
      <c r="O251">
        <f t="shared" si="11"/>
        <v>2015</v>
      </c>
    </row>
    <row r="252" spans="1:15" x14ac:dyDescent="0.25">
      <c r="A252">
        <v>251</v>
      </c>
      <c r="B252" t="s">
        <v>74</v>
      </c>
      <c r="C252" t="s">
        <v>66</v>
      </c>
      <c r="D252" t="str">
        <f t="shared" si="9"/>
        <v>James Robinson</v>
      </c>
      <c r="E252" t="s">
        <v>28</v>
      </c>
      <c r="F252">
        <v>33</v>
      </c>
      <c r="G252" t="s">
        <v>55</v>
      </c>
      <c r="H252" t="s">
        <v>34</v>
      </c>
      <c r="I252" s="1">
        <v>40973</v>
      </c>
      <c r="J252" s="2">
        <v>40351</v>
      </c>
      <c r="K252">
        <v>4</v>
      </c>
      <c r="L252">
        <v>13</v>
      </c>
      <c r="M252" t="s">
        <v>17</v>
      </c>
      <c r="N252" t="str">
        <f t="shared" si="10"/>
        <v>31-40</v>
      </c>
      <c r="O252">
        <f t="shared" si="11"/>
        <v>2012</v>
      </c>
    </row>
    <row r="253" spans="1:15" x14ac:dyDescent="0.25">
      <c r="A253">
        <v>252</v>
      </c>
      <c r="B253" t="s">
        <v>36</v>
      </c>
      <c r="C253" t="s">
        <v>48</v>
      </c>
      <c r="D253" t="str">
        <f t="shared" si="9"/>
        <v>Michael Thompson</v>
      </c>
      <c r="E253" t="s">
        <v>28</v>
      </c>
      <c r="F253">
        <v>25</v>
      </c>
      <c r="G253" t="s">
        <v>20</v>
      </c>
      <c r="H253" t="s">
        <v>21</v>
      </c>
      <c r="I253" s="1">
        <v>41675</v>
      </c>
      <c r="J253" s="2">
        <v>26475</v>
      </c>
      <c r="K253">
        <v>4</v>
      </c>
      <c r="L253">
        <v>11</v>
      </c>
      <c r="M253" t="s">
        <v>17</v>
      </c>
      <c r="N253" t="str">
        <f t="shared" si="10"/>
        <v>20-30</v>
      </c>
      <c r="O253">
        <f t="shared" si="11"/>
        <v>2014</v>
      </c>
    </row>
    <row r="254" spans="1:15" x14ac:dyDescent="0.25">
      <c r="A254">
        <v>253</v>
      </c>
      <c r="B254" t="s">
        <v>71</v>
      </c>
      <c r="C254" t="s">
        <v>46</v>
      </c>
      <c r="D254" t="str">
        <f t="shared" si="9"/>
        <v>Joseph Walker</v>
      </c>
      <c r="E254" t="s">
        <v>28</v>
      </c>
      <c r="F254">
        <v>60</v>
      </c>
      <c r="G254" t="s">
        <v>15</v>
      </c>
      <c r="H254" t="s">
        <v>16</v>
      </c>
      <c r="I254" s="1">
        <v>44360</v>
      </c>
      <c r="J254" s="2">
        <v>90961</v>
      </c>
      <c r="K254">
        <v>2</v>
      </c>
      <c r="L254">
        <v>4</v>
      </c>
      <c r="M254" t="s">
        <v>17</v>
      </c>
      <c r="N254" t="str">
        <f t="shared" si="10"/>
        <v>51-60</v>
      </c>
      <c r="O254">
        <f t="shared" si="11"/>
        <v>2021</v>
      </c>
    </row>
    <row r="255" spans="1:15" x14ac:dyDescent="0.25">
      <c r="A255">
        <v>254</v>
      </c>
      <c r="B255" t="s">
        <v>18</v>
      </c>
      <c r="C255" t="s">
        <v>33</v>
      </c>
      <c r="D255" t="str">
        <f t="shared" si="9"/>
        <v>Sarah Hall</v>
      </c>
      <c r="E255" t="s">
        <v>14</v>
      </c>
      <c r="F255">
        <v>49</v>
      </c>
      <c r="G255" t="s">
        <v>41</v>
      </c>
      <c r="H255" t="s">
        <v>25</v>
      </c>
      <c r="I255" s="1">
        <v>42828</v>
      </c>
      <c r="J255" s="2">
        <v>71106</v>
      </c>
      <c r="K255">
        <v>3</v>
      </c>
      <c r="L255">
        <v>8</v>
      </c>
      <c r="M255" t="s">
        <v>17</v>
      </c>
      <c r="N255" t="str">
        <f t="shared" si="10"/>
        <v>41-50</v>
      </c>
      <c r="O255">
        <f t="shared" si="11"/>
        <v>2017</v>
      </c>
    </row>
    <row r="256" spans="1:15" x14ac:dyDescent="0.25">
      <c r="A256">
        <v>255</v>
      </c>
      <c r="B256" t="s">
        <v>50</v>
      </c>
      <c r="C256" t="s">
        <v>45</v>
      </c>
      <c r="D256" t="str">
        <f t="shared" si="9"/>
        <v>Anthony White</v>
      </c>
      <c r="E256" t="s">
        <v>28</v>
      </c>
      <c r="F256">
        <v>27</v>
      </c>
      <c r="G256" t="s">
        <v>20</v>
      </c>
      <c r="H256" t="s">
        <v>31</v>
      </c>
      <c r="I256" s="1">
        <v>40514</v>
      </c>
      <c r="J256" s="2">
        <v>90054</v>
      </c>
      <c r="K256">
        <v>4</v>
      </c>
      <c r="L256">
        <v>15</v>
      </c>
      <c r="M256" t="s">
        <v>17</v>
      </c>
      <c r="N256" t="str">
        <f t="shared" si="10"/>
        <v>20-30</v>
      </c>
      <c r="O256">
        <f t="shared" si="11"/>
        <v>2010</v>
      </c>
    </row>
    <row r="257" spans="1:15" x14ac:dyDescent="0.25">
      <c r="A257">
        <v>256</v>
      </c>
      <c r="B257" t="s">
        <v>27</v>
      </c>
      <c r="C257" t="s">
        <v>19</v>
      </c>
      <c r="D257" t="str">
        <f t="shared" si="9"/>
        <v>Robert Lewis</v>
      </c>
      <c r="E257" t="s">
        <v>28</v>
      </c>
      <c r="F257">
        <v>25</v>
      </c>
      <c r="G257" t="s">
        <v>20</v>
      </c>
      <c r="H257" t="s">
        <v>21</v>
      </c>
      <c r="I257" s="1">
        <v>42487</v>
      </c>
      <c r="J257" s="2">
        <v>54207</v>
      </c>
      <c r="K257">
        <v>1</v>
      </c>
      <c r="L257">
        <v>9</v>
      </c>
      <c r="M257" t="s">
        <v>17</v>
      </c>
      <c r="N257" t="str">
        <f t="shared" si="10"/>
        <v>20-30</v>
      </c>
      <c r="O257">
        <f t="shared" si="11"/>
        <v>2016</v>
      </c>
    </row>
    <row r="258" spans="1:15" x14ac:dyDescent="0.25">
      <c r="A258">
        <v>257</v>
      </c>
      <c r="B258" t="s">
        <v>44</v>
      </c>
      <c r="C258" t="s">
        <v>70</v>
      </c>
      <c r="D258" t="str">
        <f t="shared" ref="D258:D301" si="12">CONCATENATE(B258," ",C258)</f>
        <v>Sophia Harris</v>
      </c>
      <c r="E258" t="s">
        <v>14</v>
      </c>
      <c r="F258">
        <v>44</v>
      </c>
      <c r="G258" t="s">
        <v>15</v>
      </c>
      <c r="H258" t="s">
        <v>34</v>
      </c>
      <c r="I258" s="1">
        <v>42483</v>
      </c>
      <c r="J258" s="2">
        <v>53764</v>
      </c>
      <c r="K258">
        <v>5</v>
      </c>
      <c r="L258">
        <v>9</v>
      </c>
      <c r="M258" t="s">
        <v>17</v>
      </c>
      <c r="N258" t="str">
        <f t="shared" ref="N258:N301" si="13">IF(AND(F258&gt;=20,F258&lt;=30),"20-30",IF(AND(F258&gt;=31,F258&lt;=40),"31-40",IF(AND(F258&gt;=41,F258&lt;=50),"41-50",IF(AND(F258&gt;=51,F258&lt;=60),"51-60"))))</f>
        <v>41-50</v>
      </c>
      <c r="O258">
        <f t="shared" ref="O258:O301" si="14">YEAR(I258)</f>
        <v>2016</v>
      </c>
    </row>
    <row r="259" spans="1:15" x14ac:dyDescent="0.25">
      <c r="A259">
        <v>258</v>
      </c>
      <c r="B259" t="s">
        <v>74</v>
      </c>
      <c r="C259" t="s">
        <v>67</v>
      </c>
      <c r="D259" t="str">
        <f t="shared" si="12"/>
        <v>James Brown</v>
      </c>
      <c r="E259" t="s">
        <v>28</v>
      </c>
      <c r="F259">
        <v>50</v>
      </c>
      <c r="G259" t="s">
        <v>20</v>
      </c>
      <c r="H259" t="s">
        <v>31</v>
      </c>
      <c r="I259" s="1">
        <v>41498</v>
      </c>
      <c r="J259" s="2">
        <v>56057</v>
      </c>
      <c r="K259">
        <v>5</v>
      </c>
      <c r="L259">
        <v>12</v>
      </c>
      <c r="M259" t="s">
        <v>17</v>
      </c>
      <c r="N259" t="str">
        <f t="shared" si="13"/>
        <v>41-50</v>
      </c>
      <c r="O259">
        <f t="shared" si="14"/>
        <v>2013</v>
      </c>
    </row>
    <row r="260" spans="1:15" x14ac:dyDescent="0.25">
      <c r="A260">
        <v>259</v>
      </c>
      <c r="B260" t="s">
        <v>36</v>
      </c>
      <c r="C260" t="s">
        <v>19</v>
      </c>
      <c r="D260" t="str">
        <f t="shared" si="12"/>
        <v>Michael Lewis</v>
      </c>
      <c r="E260" t="s">
        <v>28</v>
      </c>
      <c r="F260">
        <v>43</v>
      </c>
      <c r="G260" t="s">
        <v>55</v>
      </c>
      <c r="H260" t="s">
        <v>21</v>
      </c>
      <c r="I260" s="1">
        <v>40858</v>
      </c>
      <c r="J260" s="2">
        <v>39701</v>
      </c>
      <c r="K260">
        <v>3</v>
      </c>
      <c r="L260">
        <v>14</v>
      </c>
      <c r="M260" t="s">
        <v>26</v>
      </c>
      <c r="N260" t="str">
        <f t="shared" si="13"/>
        <v>41-50</v>
      </c>
      <c r="O260">
        <f t="shared" si="14"/>
        <v>2011</v>
      </c>
    </row>
    <row r="261" spans="1:15" x14ac:dyDescent="0.25">
      <c r="A261">
        <v>260</v>
      </c>
      <c r="B261" t="s">
        <v>47</v>
      </c>
      <c r="C261" t="s">
        <v>30</v>
      </c>
      <c r="D261" t="str">
        <f t="shared" si="12"/>
        <v>David Lee</v>
      </c>
      <c r="E261" t="s">
        <v>28</v>
      </c>
      <c r="F261">
        <v>28</v>
      </c>
      <c r="G261" t="s">
        <v>41</v>
      </c>
      <c r="H261" t="s">
        <v>31</v>
      </c>
      <c r="I261" s="1">
        <v>40689</v>
      </c>
      <c r="J261" s="2">
        <v>32646</v>
      </c>
      <c r="K261">
        <v>1</v>
      </c>
      <c r="L261">
        <v>14</v>
      </c>
      <c r="M261" t="s">
        <v>17</v>
      </c>
      <c r="N261" t="str">
        <f t="shared" si="13"/>
        <v>20-30</v>
      </c>
      <c r="O261">
        <f t="shared" si="14"/>
        <v>2011</v>
      </c>
    </row>
    <row r="262" spans="1:15" x14ac:dyDescent="0.25">
      <c r="A262">
        <v>261</v>
      </c>
      <c r="B262" t="s">
        <v>47</v>
      </c>
      <c r="C262" t="s">
        <v>43</v>
      </c>
      <c r="D262" t="str">
        <f t="shared" si="12"/>
        <v>David Jackson</v>
      </c>
      <c r="E262" t="s">
        <v>28</v>
      </c>
      <c r="F262">
        <v>60</v>
      </c>
      <c r="G262" t="s">
        <v>24</v>
      </c>
      <c r="H262" t="s">
        <v>34</v>
      </c>
      <c r="I262" s="1">
        <v>40954</v>
      </c>
      <c r="J262" s="2">
        <v>64043</v>
      </c>
      <c r="K262">
        <v>5</v>
      </c>
      <c r="L262">
        <v>13</v>
      </c>
      <c r="M262" t="s">
        <v>26</v>
      </c>
      <c r="N262" t="str">
        <f t="shared" si="13"/>
        <v>51-60</v>
      </c>
      <c r="O262">
        <f t="shared" si="14"/>
        <v>2012</v>
      </c>
    </row>
    <row r="263" spans="1:15" x14ac:dyDescent="0.25">
      <c r="A263">
        <v>262</v>
      </c>
      <c r="B263" t="s">
        <v>61</v>
      </c>
      <c r="C263" t="s">
        <v>45</v>
      </c>
      <c r="D263" t="str">
        <f t="shared" si="12"/>
        <v>Christopher White</v>
      </c>
      <c r="E263" t="s">
        <v>28</v>
      </c>
      <c r="F263">
        <v>23</v>
      </c>
      <c r="G263" t="s">
        <v>39</v>
      </c>
      <c r="H263" t="s">
        <v>25</v>
      </c>
      <c r="I263" s="1">
        <v>43739</v>
      </c>
      <c r="J263" s="2">
        <v>62198</v>
      </c>
      <c r="K263">
        <v>3</v>
      </c>
      <c r="L263">
        <v>6</v>
      </c>
      <c r="M263" t="s">
        <v>17</v>
      </c>
      <c r="N263" t="str">
        <f t="shared" si="13"/>
        <v>20-30</v>
      </c>
      <c r="O263">
        <f t="shared" si="14"/>
        <v>2019</v>
      </c>
    </row>
    <row r="264" spans="1:15" x14ac:dyDescent="0.25">
      <c r="A264">
        <v>263</v>
      </c>
      <c r="B264" t="s">
        <v>69</v>
      </c>
      <c r="C264" t="s">
        <v>54</v>
      </c>
      <c r="D264" t="str">
        <f t="shared" si="12"/>
        <v>Anna Smith</v>
      </c>
      <c r="E264" t="s">
        <v>14</v>
      </c>
      <c r="F264">
        <v>46</v>
      </c>
      <c r="G264" t="s">
        <v>39</v>
      </c>
      <c r="H264" t="s">
        <v>34</v>
      </c>
      <c r="I264" s="1">
        <v>45001</v>
      </c>
      <c r="J264" s="2">
        <v>80185</v>
      </c>
      <c r="K264">
        <v>2</v>
      </c>
      <c r="L264">
        <v>2</v>
      </c>
      <c r="M264" t="s">
        <v>26</v>
      </c>
      <c r="N264" t="str">
        <f t="shared" si="13"/>
        <v>41-50</v>
      </c>
      <c r="O264">
        <f t="shared" si="14"/>
        <v>2023</v>
      </c>
    </row>
    <row r="265" spans="1:15" x14ac:dyDescent="0.25">
      <c r="A265">
        <v>264</v>
      </c>
      <c r="B265" t="s">
        <v>50</v>
      </c>
      <c r="C265" t="s">
        <v>67</v>
      </c>
      <c r="D265" t="str">
        <f t="shared" si="12"/>
        <v>Anthony Brown</v>
      </c>
      <c r="E265" t="s">
        <v>28</v>
      </c>
      <c r="F265">
        <v>27</v>
      </c>
      <c r="G265" t="s">
        <v>39</v>
      </c>
      <c r="H265" t="s">
        <v>25</v>
      </c>
      <c r="I265" s="1">
        <v>45408</v>
      </c>
      <c r="J265" s="2">
        <v>35453</v>
      </c>
      <c r="K265">
        <v>3</v>
      </c>
      <c r="L265">
        <v>1</v>
      </c>
      <c r="M265" t="s">
        <v>26</v>
      </c>
      <c r="N265" t="str">
        <f t="shared" si="13"/>
        <v>20-30</v>
      </c>
      <c r="O265">
        <f t="shared" si="14"/>
        <v>2024</v>
      </c>
    </row>
    <row r="266" spans="1:15" x14ac:dyDescent="0.25">
      <c r="A266">
        <v>265</v>
      </c>
      <c r="B266" t="s">
        <v>73</v>
      </c>
      <c r="C266" t="s">
        <v>35</v>
      </c>
      <c r="D266" t="str">
        <f t="shared" si="12"/>
        <v>Daniel Thomas</v>
      </c>
      <c r="E266" t="s">
        <v>28</v>
      </c>
      <c r="F266">
        <v>51</v>
      </c>
      <c r="G266" t="s">
        <v>41</v>
      </c>
      <c r="H266" t="s">
        <v>21</v>
      </c>
      <c r="I266" s="1">
        <v>45367</v>
      </c>
      <c r="J266" s="2">
        <v>72480</v>
      </c>
      <c r="K266">
        <v>1</v>
      </c>
      <c r="L266">
        <v>1</v>
      </c>
      <c r="M266" t="s">
        <v>17</v>
      </c>
      <c r="N266" t="str">
        <f t="shared" si="13"/>
        <v>51-60</v>
      </c>
      <c r="O266">
        <f t="shared" si="14"/>
        <v>2024</v>
      </c>
    </row>
    <row r="267" spans="1:15" x14ac:dyDescent="0.25">
      <c r="A267">
        <v>266</v>
      </c>
      <c r="B267" t="s">
        <v>75</v>
      </c>
      <c r="C267" t="s">
        <v>13</v>
      </c>
      <c r="D267" t="str">
        <f t="shared" si="12"/>
        <v>Emily Martin</v>
      </c>
      <c r="E267" t="s">
        <v>14</v>
      </c>
      <c r="F267">
        <v>37</v>
      </c>
      <c r="G267" t="s">
        <v>55</v>
      </c>
      <c r="H267" t="s">
        <v>16</v>
      </c>
      <c r="I267" s="1">
        <v>44656</v>
      </c>
      <c r="J267" s="2">
        <v>61964</v>
      </c>
      <c r="K267">
        <v>4</v>
      </c>
      <c r="L267">
        <v>3</v>
      </c>
      <c r="M267" t="s">
        <v>26</v>
      </c>
      <c r="N267" t="str">
        <f t="shared" si="13"/>
        <v>31-40</v>
      </c>
      <c r="O267">
        <f t="shared" si="14"/>
        <v>2022</v>
      </c>
    </row>
    <row r="268" spans="1:15" x14ac:dyDescent="0.25">
      <c r="A268">
        <v>267</v>
      </c>
      <c r="B268" t="s">
        <v>69</v>
      </c>
      <c r="C268" t="s">
        <v>19</v>
      </c>
      <c r="D268" t="str">
        <f t="shared" si="12"/>
        <v>Anna Lewis</v>
      </c>
      <c r="E268" t="s">
        <v>14</v>
      </c>
      <c r="F268">
        <v>23</v>
      </c>
      <c r="G268" t="s">
        <v>24</v>
      </c>
      <c r="H268" t="s">
        <v>25</v>
      </c>
      <c r="I268" s="1">
        <v>44315</v>
      </c>
      <c r="J268" s="2">
        <v>59877</v>
      </c>
      <c r="K268">
        <v>5</v>
      </c>
      <c r="L268">
        <v>4</v>
      </c>
      <c r="M268" t="s">
        <v>26</v>
      </c>
      <c r="N268" t="str">
        <f t="shared" si="13"/>
        <v>20-30</v>
      </c>
      <c r="O268">
        <f t="shared" si="14"/>
        <v>2021</v>
      </c>
    </row>
    <row r="269" spans="1:15" x14ac:dyDescent="0.25">
      <c r="A269">
        <v>268</v>
      </c>
      <c r="B269" t="s">
        <v>75</v>
      </c>
      <c r="C269" t="s">
        <v>59</v>
      </c>
      <c r="D269" t="str">
        <f t="shared" si="12"/>
        <v>Emily Martinez</v>
      </c>
      <c r="E269" t="s">
        <v>14</v>
      </c>
      <c r="F269">
        <v>22</v>
      </c>
      <c r="G269" t="s">
        <v>55</v>
      </c>
      <c r="H269" t="s">
        <v>16</v>
      </c>
      <c r="I269" s="1">
        <v>44845</v>
      </c>
      <c r="J269" s="2">
        <v>65901</v>
      </c>
      <c r="K269">
        <v>3</v>
      </c>
      <c r="L269">
        <v>3</v>
      </c>
      <c r="M269" t="s">
        <v>17</v>
      </c>
      <c r="N269" t="str">
        <f t="shared" si="13"/>
        <v>20-30</v>
      </c>
      <c r="O269">
        <f t="shared" si="14"/>
        <v>2022</v>
      </c>
    </row>
    <row r="270" spans="1:15" x14ac:dyDescent="0.25">
      <c r="A270">
        <v>269</v>
      </c>
      <c r="B270" t="s">
        <v>22</v>
      </c>
      <c r="C270" t="s">
        <v>64</v>
      </c>
      <c r="D270" t="str">
        <f t="shared" si="12"/>
        <v>Olivia Anderson</v>
      </c>
      <c r="E270" t="s">
        <v>14</v>
      </c>
      <c r="F270">
        <v>46</v>
      </c>
      <c r="G270" t="s">
        <v>15</v>
      </c>
      <c r="H270" t="s">
        <v>16</v>
      </c>
      <c r="I270" s="1">
        <v>45186</v>
      </c>
      <c r="J270" s="2">
        <v>38749</v>
      </c>
      <c r="K270">
        <v>3</v>
      </c>
      <c r="L270">
        <v>2</v>
      </c>
      <c r="M270" t="s">
        <v>26</v>
      </c>
      <c r="N270" t="str">
        <f t="shared" si="13"/>
        <v>41-50</v>
      </c>
      <c r="O270">
        <f t="shared" si="14"/>
        <v>2023</v>
      </c>
    </row>
    <row r="271" spans="1:15" x14ac:dyDescent="0.25">
      <c r="A271">
        <v>270</v>
      </c>
      <c r="B271" t="s">
        <v>72</v>
      </c>
      <c r="C271" t="s">
        <v>33</v>
      </c>
      <c r="D271" t="str">
        <f t="shared" si="12"/>
        <v>Emma Hall</v>
      </c>
      <c r="E271" t="s">
        <v>14</v>
      </c>
      <c r="F271">
        <v>45</v>
      </c>
      <c r="G271" t="s">
        <v>20</v>
      </c>
      <c r="H271" t="s">
        <v>21</v>
      </c>
      <c r="I271" s="1">
        <v>41393</v>
      </c>
      <c r="J271" s="2">
        <v>61733</v>
      </c>
      <c r="K271">
        <v>2</v>
      </c>
      <c r="L271">
        <v>12</v>
      </c>
      <c r="M271" t="s">
        <v>26</v>
      </c>
      <c r="N271" t="str">
        <f t="shared" si="13"/>
        <v>41-50</v>
      </c>
      <c r="O271">
        <f t="shared" si="14"/>
        <v>2013</v>
      </c>
    </row>
    <row r="272" spans="1:15" x14ac:dyDescent="0.25">
      <c r="A272">
        <v>271</v>
      </c>
      <c r="B272" t="s">
        <v>51</v>
      </c>
      <c r="C272" t="s">
        <v>33</v>
      </c>
      <c r="D272" t="str">
        <f t="shared" si="12"/>
        <v>Paul Hall</v>
      </c>
      <c r="E272" t="s">
        <v>28</v>
      </c>
      <c r="F272">
        <v>44</v>
      </c>
      <c r="G272" t="s">
        <v>55</v>
      </c>
      <c r="H272" t="s">
        <v>16</v>
      </c>
      <c r="I272" s="1">
        <v>44150</v>
      </c>
      <c r="J272" s="2">
        <v>27173</v>
      </c>
      <c r="K272">
        <v>1</v>
      </c>
      <c r="L272">
        <v>5</v>
      </c>
      <c r="M272" t="s">
        <v>17</v>
      </c>
      <c r="N272" t="str">
        <f t="shared" si="13"/>
        <v>41-50</v>
      </c>
      <c r="O272">
        <f t="shared" si="14"/>
        <v>2020</v>
      </c>
    </row>
    <row r="273" spans="1:15" x14ac:dyDescent="0.25">
      <c r="A273">
        <v>272</v>
      </c>
      <c r="B273" t="s">
        <v>50</v>
      </c>
      <c r="C273" t="s">
        <v>59</v>
      </c>
      <c r="D273" t="str">
        <f t="shared" si="12"/>
        <v>Anthony Martinez</v>
      </c>
      <c r="E273" t="s">
        <v>28</v>
      </c>
      <c r="F273">
        <v>39</v>
      </c>
      <c r="G273" t="s">
        <v>39</v>
      </c>
      <c r="H273" t="s">
        <v>16</v>
      </c>
      <c r="I273" s="1">
        <v>41458</v>
      </c>
      <c r="J273" s="2">
        <v>35987</v>
      </c>
      <c r="K273">
        <v>1</v>
      </c>
      <c r="L273">
        <v>12</v>
      </c>
      <c r="M273" t="s">
        <v>26</v>
      </c>
      <c r="N273" t="str">
        <f t="shared" si="13"/>
        <v>31-40</v>
      </c>
      <c r="O273">
        <f t="shared" si="14"/>
        <v>2013</v>
      </c>
    </row>
    <row r="274" spans="1:15" x14ac:dyDescent="0.25">
      <c r="A274">
        <v>273</v>
      </c>
      <c r="B274" t="s">
        <v>36</v>
      </c>
      <c r="C274" t="s">
        <v>58</v>
      </c>
      <c r="D274" t="str">
        <f t="shared" si="12"/>
        <v>Michael Clark</v>
      </c>
      <c r="E274" t="s">
        <v>28</v>
      </c>
      <c r="F274">
        <v>31</v>
      </c>
      <c r="G274" t="s">
        <v>24</v>
      </c>
      <c r="H274" t="s">
        <v>21</v>
      </c>
      <c r="I274" s="1">
        <v>41730</v>
      </c>
      <c r="J274" s="2">
        <v>32406</v>
      </c>
      <c r="K274">
        <v>3</v>
      </c>
      <c r="L274">
        <v>11</v>
      </c>
      <c r="M274" t="s">
        <v>26</v>
      </c>
      <c r="N274" t="str">
        <f t="shared" si="13"/>
        <v>31-40</v>
      </c>
      <c r="O274">
        <f t="shared" si="14"/>
        <v>2014</v>
      </c>
    </row>
    <row r="275" spans="1:15" x14ac:dyDescent="0.25">
      <c r="A275">
        <v>274</v>
      </c>
      <c r="B275" t="s">
        <v>44</v>
      </c>
      <c r="C275" t="s">
        <v>43</v>
      </c>
      <c r="D275" t="str">
        <f t="shared" si="12"/>
        <v>Sophia Jackson</v>
      </c>
      <c r="E275" t="s">
        <v>14</v>
      </c>
      <c r="F275">
        <v>46</v>
      </c>
      <c r="G275" t="s">
        <v>41</v>
      </c>
      <c r="H275" t="s">
        <v>25</v>
      </c>
      <c r="I275" s="1">
        <v>42825</v>
      </c>
      <c r="J275" s="2">
        <v>35736</v>
      </c>
      <c r="K275">
        <v>3</v>
      </c>
      <c r="L275">
        <v>8</v>
      </c>
      <c r="M275" t="s">
        <v>17</v>
      </c>
      <c r="N275" t="str">
        <f t="shared" si="13"/>
        <v>41-50</v>
      </c>
      <c r="O275">
        <f t="shared" si="14"/>
        <v>2017</v>
      </c>
    </row>
    <row r="276" spans="1:15" x14ac:dyDescent="0.25">
      <c r="A276">
        <v>275</v>
      </c>
      <c r="B276" t="s">
        <v>72</v>
      </c>
      <c r="C276" t="s">
        <v>45</v>
      </c>
      <c r="D276" t="str">
        <f t="shared" si="12"/>
        <v>Emma White</v>
      </c>
      <c r="E276" t="s">
        <v>14</v>
      </c>
      <c r="F276">
        <v>29</v>
      </c>
      <c r="G276" t="s">
        <v>55</v>
      </c>
      <c r="H276" t="s">
        <v>34</v>
      </c>
      <c r="I276" s="1">
        <v>44662</v>
      </c>
      <c r="J276" s="2">
        <v>33583</v>
      </c>
      <c r="K276">
        <v>3</v>
      </c>
      <c r="L276">
        <v>3</v>
      </c>
      <c r="M276" t="s">
        <v>26</v>
      </c>
      <c r="N276" t="str">
        <f t="shared" si="13"/>
        <v>20-30</v>
      </c>
      <c r="O276">
        <f t="shared" si="14"/>
        <v>2022</v>
      </c>
    </row>
    <row r="277" spans="1:15" x14ac:dyDescent="0.25">
      <c r="A277">
        <v>276</v>
      </c>
      <c r="B277" t="s">
        <v>44</v>
      </c>
      <c r="C277" t="s">
        <v>35</v>
      </c>
      <c r="D277" t="str">
        <f t="shared" si="12"/>
        <v>Sophia Thomas</v>
      </c>
      <c r="E277" t="s">
        <v>14</v>
      </c>
      <c r="F277">
        <v>47</v>
      </c>
      <c r="G277" t="s">
        <v>55</v>
      </c>
      <c r="H277" t="s">
        <v>25</v>
      </c>
      <c r="I277" s="1">
        <v>41900</v>
      </c>
      <c r="J277" s="2">
        <v>57285</v>
      </c>
      <c r="K277">
        <v>5</v>
      </c>
      <c r="L277">
        <v>11</v>
      </c>
      <c r="M277" t="s">
        <v>17</v>
      </c>
      <c r="N277" t="str">
        <f t="shared" si="13"/>
        <v>41-50</v>
      </c>
      <c r="O277">
        <f t="shared" si="14"/>
        <v>2014</v>
      </c>
    </row>
    <row r="278" spans="1:15" x14ac:dyDescent="0.25">
      <c r="A278">
        <v>277</v>
      </c>
      <c r="B278" t="s">
        <v>49</v>
      </c>
      <c r="C278" t="s">
        <v>56</v>
      </c>
      <c r="D278" t="str">
        <f t="shared" si="12"/>
        <v>Barbara Garcia</v>
      </c>
      <c r="E278" t="s">
        <v>14</v>
      </c>
      <c r="F278">
        <v>54</v>
      </c>
      <c r="G278" t="s">
        <v>55</v>
      </c>
      <c r="H278" t="s">
        <v>21</v>
      </c>
      <c r="I278" s="1">
        <v>45643</v>
      </c>
      <c r="J278" s="2">
        <v>94451</v>
      </c>
      <c r="K278">
        <v>4</v>
      </c>
      <c r="L278">
        <v>1</v>
      </c>
      <c r="M278" t="s">
        <v>17</v>
      </c>
      <c r="N278" t="str">
        <f t="shared" si="13"/>
        <v>51-60</v>
      </c>
      <c r="O278">
        <f t="shared" si="14"/>
        <v>2024</v>
      </c>
    </row>
    <row r="279" spans="1:15" x14ac:dyDescent="0.25">
      <c r="A279">
        <v>278</v>
      </c>
      <c r="B279" t="s">
        <v>69</v>
      </c>
      <c r="C279" t="s">
        <v>59</v>
      </c>
      <c r="D279" t="str">
        <f t="shared" si="12"/>
        <v>Anna Martinez</v>
      </c>
      <c r="E279" t="s">
        <v>14</v>
      </c>
      <c r="F279">
        <v>40</v>
      </c>
      <c r="G279" t="s">
        <v>24</v>
      </c>
      <c r="H279" t="s">
        <v>21</v>
      </c>
      <c r="I279" s="1">
        <v>44551</v>
      </c>
      <c r="J279" s="2">
        <v>56199</v>
      </c>
      <c r="K279">
        <v>5</v>
      </c>
      <c r="L279">
        <v>4</v>
      </c>
      <c r="M279" t="s">
        <v>26</v>
      </c>
      <c r="N279" t="str">
        <f t="shared" si="13"/>
        <v>31-40</v>
      </c>
      <c r="O279">
        <f t="shared" si="14"/>
        <v>2021</v>
      </c>
    </row>
    <row r="280" spans="1:15" x14ac:dyDescent="0.25">
      <c r="A280">
        <v>279</v>
      </c>
      <c r="B280" t="s">
        <v>75</v>
      </c>
      <c r="C280" t="s">
        <v>33</v>
      </c>
      <c r="D280" t="str">
        <f t="shared" si="12"/>
        <v>Emily Hall</v>
      </c>
      <c r="E280" t="s">
        <v>14</v>
      </c>
      <c r="F280">
        <v>26</v>
      </c>
      <c r="G280" t="s">
        <v>20</v>
      </c>
      <c r="H280" t="s">
        <v>34</v>
      </c>
      <c r="I280" s="1">
        <v>43341</v>
      </c>
      <c r="J280" s="2">
        <v>45065</v>
      </c>
      <c r="K280">
        <v>3</v>
      </c>
      <c r="L280">
        <v>7</v>
      </c>
      <c r="M280" t="s">
        <v>26</v>
      </c>
      <c r="N280" t="str">
        <f t="shared" si="13"/>
        <v>20-30</v>
      </c>
      <c r="O280">
        <f t="shared" si="14"/>
        <v>2018</v>
      </c>
    </row>
    <row r="281" spans="1:15" x14ac:dyDescent="0.25">
      <c r="A281">
        <v>280</v>
      </c>
      <c r="B281" t="s">
        <v>69</v>
      </c>
      <c r="C281" t="s">
        <v>37</v>
      </c>
      <c r="D281" t="str">
        <f t="shared" si="12"/>
        <v>Anna Taylor</v>
      </c>
      <c r="E281" t="s">
        <v>14</v>
      </c>
      <c r="F281">
        <v>44</v>
      </c>
      <c r="G281" t="s">
        <v>55</v>
      </c>
      <c r="H281" t="s">
        <v>31</v>
      </c>
      <c r="I281" s="1">
        <v>42731</v>
      </c>
      <c r="J281" s="2">
        <v>30856</v>
      </c>
      <c r="K281">
        <v>5</v>
      </c>
      <c r="L281">
        <v>9</v>
      </c>
      <c r="M281" t="s">
        <v>26</v>
      </c>
      <c r="N281" t="str">
        <f t="shared" si="13"/>
        <v>41-50</v>
      </c>
      <c r="O281">
        <f t="shared" si="14"/>
        <v>2016</v>
      </c>
    </row>
    <row r="282" spans="1:15" x14ac:dyDescent="0.25">
      <c r="A282">
        <v>281</v>
      </c>
      <c r="B282" t="s">
        <v>61</v>
      </c>
      <c r="C282" t="s">
        <v>48</v>
      </c>
      <c r="D282" t="str">
        <f t="shared" si="12"/>
        <v>Christopher Thompson</v>
      </c>
      <c r="E282" t="s">
        <v>28</v>
      </c>
      <c r="F282">
        <v>51</v>
      </c>
      <c r="G282" t="s">
        <v>15</v>
      </c>
      <c r="H282" t="s">
        <v>21</v>
      </c>
      <c r="I282" s="1">
        <v>42050</v>
      </c>
      <c r="J282" s="2">
        <v>42964</v>
      </c>
      <c r="K282">
        <v>2</v>
      </c>
      <c r="L282">
        <v>10</v>
      </c>
      <c r="M282" t="s">
        <v>26</v>
      </c>
      <c r="N282" t="str">
        <f t="shared" si="13"/>
        <v>51-60</v>
      </c>
      <c r="O282">
        <f t="shared" si="14"/>
        <v>2015</v>
      </c>
    </row>
    <row r="283" spans="1:15" x14ac:dyDescent="0.25">
      <c r="A283">
        <v>282</v>
      </c>
      <c r="B283" t="s">
        <v>72</v>
      </c>
      <c r="C283" t="s">
        <v>54</v>
      </c>
      <c r="D283" t="str">
        <f t="shared" si="12"/>
        <v>Emma Smith</v>
      </c>
      <c r="E283" t="s">
        <v>14</v>
      </c>
      <c r="F283">
        <v>37</v>
      </c>
      <c r="G283" t="s">
        <v>15</v>
      </c>
      <c r="H283" t="s">
        <v>21</v>
      </c>
      <c r="I283" s="1">
        <v>44722</v>
      </c>
      <c r="J283" s="2">
        <v>49176</v>
      </c>
      <c r="K283">
        <v>3</v>
      </c>
      <c r="L283">
        <v>3</v>
      </c>
      <c r="M283" t="s">
        <v>17</v>
      </c>
      <c r="N283" t="str">
        <f t="shared" si="13"/>
        <v>31-40</v>
      </c>
      <c r="O283">
        <f t="shared" si="14"/>
        <v>2022</v>
      </c>
    </row>
    <row r="284" spans="1:15" x14ac:dyDescent="0.25">
      <c r="A284">
        <v>283</v>
      </c>
      <c r="B284" t="s">
        <v>44</v>
      </c>
      <c r="C284" t="s">
        <v>19</v>
      </c>
      <c r="D284" t="str">
        <f t="shared" si="12"/>
        <v>Sophia Lewis</v>
      </c>
      <c r="E284" t="s">
        <v>14</v>
      </c>
      <c r="F284">
        <v>41</v>
      </c>
      <c r="G284" t="s">
        <v>41</v>
      </c>
      <c r="H284" t="s">
        <v>25</v>
      </c>
      <c r="I284" s="1">
        <v>42889</v>
      </c>
      <c r="J284" s="2">
        <v>29642</v>
      </c>
      <c r="K284">
        <v>5</v>
      </c>
      <c r="L284">
        <v>8</v>
      </c>
      <c r="M284" t="s">
        <v>26</v>
      </c>
      <c r="N284" t="str">
        <f t="shared" si="13"/>
        <v>41-50</v>
      </c>
      <c r="O284">
        <f t="shared" si="14"/>
        <v>2017</v>
      </c>
    </row>
    <row r="285" spans="1:15" x14ac:dyDescent="0.25">
      <c r="A285">
        <v>284</v>
      </c>
      <c r="B285" t="s">
        <v>38</v>
      </c>
      <c r="C285" t="s">
        <v>59</v>
      </c>
      <c r="D285" t="str">
        <f t="shared" si="12"/>
        <v>Mary Martinez</v>
      </c>
      <c r="E285" t="s">
        <v>14</v>
      </c>
      <c r="F285">
        <v>39</v>
      </c>
      <c r="G285" t="s">
        <v>24</v>
      </c>
      <c r="H285" t="s">
        <v>31</v>
      </c>
      <c r="I285" s="1">
        <v>43418</v>
      </c>
      <c r="J285" s="2">
        <v>79219</v>
      </c>
      <c r="K285">
        <v>5</v>
      </c>
      <c r="L285">
        <v>7</v>
      </c>
      <c r="M285" t="s">
        <v>17</v>
      </c>
      <c r="N285" t="str">
        <f t="shared" si="13"/>
        <v>31-40</v>
      </c>
      <c r="O285">
        <f t="shared" si="14"/>
        <v>2018</v>
      </c>
    </row>
    <row r="286" spans="1:15" x14ac:dyDescent="0.25">
      <c r="A286">
        <v>285</v>
      </c>
      <c r="B286" t="s">
        <v>62</v>
      </c>
      <c r="C286" t="s">
        <v>33</v>
      </c>
      <c r="D286" t="str">
        <f t="shared" si="12"/>
        <v>Jessica Hall</v>
      </c>
      <c r="E286" t="s">
        <v>14</v>
      </c>
      <c r="F286">
        <v>24</v>
      </c>
      <c r="G286" t="s">
        <v>15</v>
      </c>
      <c r="H286" t="s">
        <v>34</v>
      </c>
      <c r="I286" s="1">
        <v>41995</v>
      </c>
      <c r="J286" s="2">
        <v>64696</v>
      </c>
      <c r="K286">
        <v>4</v>
      </c>
      <c r="L286">
        <v>11</v>
      </c>
      <c r="M286" t="s">
        <v>17</v>
      </c>
      <c r="N286" t="str">
        <f t="shared" si="13"/>
        <v>20-30</v>
      </c>
      <c r="O286">
        <f t="shared" si="14"/>
        <v>2014</v>
      </c>
    </row>
    <row r="287" spans="1:15" x14ac:dyDescent="0.25">
      <c r="A287">
        <v>286</v>
      </c>
      <c r="B287" t="s">
        <v>36</v>
      </c>
      <c r="C287" t="s">
        <v>59</v>
      </c>
      <c r="D287" t="str">
        <f t="shared" si="12"/>
        <v>Michael Martinez</v>
      </c>
      <c r="E287" t="s">
        <v>28</v>
      </c>
      <c r="F287">
        <v>22</v>
      </c>
      <c r="G287" t="s">
        <v>20</v>
      </c>
      <c r="H287" t="s">
        <v>31</v>
      </c>
      <c r="I287" s="1">
        <v>41122</v>
      </c>
      <c r="J287" s="2">
        <v>37128</v>
      </c>
      <c r="K287">
        <v>4</v>
      </c>
      <c r="L287">
        <v>13</v>
      </c>
      <c r="M287" t="s">
        <v>26</v>
      </c>
      <c r="N287" t="str">
        <f t="shared" si="13"/>
        <v>20-30</v>
      </c>
      <c r="O287">
        <f t="shared" si="14"/>
        <v>2012</v>
      </c>
    </row>
    <row r="288" spans="1:15" x14ac:dyDescent="0.25">
      <c r="A288">
        <v>287</v>
      </c>
      <c r="B288" t="s">
        <v>38</v>
      </c>
      <c r="C288" t="s">
        <v>66</v>
      </c>
      <c r="D288" t="str">
        <f t="shared" si="12"/>
        <v>Mary Robinson</v>
      </c>
      <c r="E288" t="s">
        <v>14</v>
      </c>
      <c r="F288">
        <v>28</v>
      </c>
      <c r="G288" t="s">
        <v>41</v>
      </c>
      <c r="H288" t="s">
        <v>34</v>
      </c>
      <c r="I288" s="1">
        <v>45095</v>
      </c>
      <c r="J288" s="2">
        <v>62153</v>
      </c>
      <c r="K288">
        <v>3</v>
      </c>
      <c r="L288">
        <v>2</v>
      </c>
      <c r="M288" t="s">
        <v>26</v>
      </c>
      <c r="N288" t="str">
        <f t="shared" si="13"/>
        <v>20-30</v>
      </c>
      <c r="O288">
        <f t="shared" si="14"/>
        <v>2023</v>
      </c>
    </row>
    <row r="289" spans="1:15" x14ac:dyDescent="0.25">
      <c r="A289">
        <v>288</v>
      </c>
      <c r="B289" t="s">
        <v>29</v>
      </c>
      <c r="C289" t="s">
        <v>52</v>
      </c>
      <c r="D289" t="str">
        <f t="shared" si="12"/>
        <v>Jennifer Allen</v>
      </c>
      <c r="E289" t="s">
        <v>14</v>
      </c>
      <c r="F289">
        <v>44</v>
      </c>
      <c r="G289" t="s">
        <v>24</v>
      </c>
      <c r="H289" t="s">
        <v>31</v>
      </c>
      <c r="I289" s="1">
        <v>41077</v>
      </c>
      <c r="J289" s="2">
        <v>60059</v>
      </c>
      <c r="K289">
        <v>5</v>
      </c>
      <c r="L289">
        <v>13</v>
      </c>
      <c r="M289" t="s">
        <v>26</v>
      </c>
      <c r="N289" t="str">
        <f t="shared" si="13"/>
        <v>41-50</v>
      </c>
      <c r="O289">
        <f t="shared" si="14"/>
        <v>2012</v>
      </c>
    </row>
    <row r="290" spans="1:15" x14ac:dyDescent="0.25">
      <c r="A290">
        <v>289</v>
      </c>
      <c r="B290" t="s">
        <v>12</v>
      </c>
      <c r="C290" t="s">
        <v>45</v>
      </c>
      <c r="D290" t="str">
        <f t="shared" si="12"/>
        <v>Susan White</v>
      </c>
      <c r="E290" t="s">
        <v>14</v>
      </c>
      <c r="F290">
        <v>31</v>
      </c>
      <c r="G290" t="s">
        <v>24</v>
      </c>
      <c r="H290" t="s">
        <v>25</v>
      </c>
      <c r="I290" s="1">
        <v>41004</v>
      </c>
      <c r="J290" s="2">
        <v>93736</v>
      </c>
      <c r="K290">
        <v>5</v>
      </c>
      <c r="L290">
        <v>13</v>
      </c>
      <c r="M290" t="s">
        <v>17</v>
      </c>
      <c r="N290" t="str">
        <f t="shared" si="13"/>
        <v>31-40</v>
      </c>
      <c r="O290">
        <f t="shared" si="14"/>
        <v>2012</v>
      </c>
    </row>
    <row r="291" spans="1:15" x14ac:dyDescent="0.25">
      <c r="A291">
        <v>290</v>
      </c>
      <c r="B291" t="s">
        <v>44</v>
      </c>
      <c r="C291" t="s">
        <v>37</v>
      </c>
      <c r="D291" t="str">
        <f t="shared" si="12"/>
        <v>Sophia Taylor</v>
      </c>
      <c r="E291" t="s">
        <v>14</v>
      </c>
      <c r="F291">
        <v>26</v>
      </c>
      <c r="G291" t="s">
        <v>39</v>
      </c>
      <c r="H291" t="s">
        <v>21</v>
      </c>
      <c r="I291" s="1">
        <v>43719</v>
      </c>
      <c r="J291" s="2">
        <v>33090</v>
      </c>
      <c r="K291">
        <v>5</v>
      </c>
      <c r="L291">
        <v>6</v>
      </c>
      <c r="M291" t="s">
        <v>17</v>
      </c>
      <c r="N291" t="str">
        <f t="shared" si="13"/>
        <v>20-30</v>
      </c>
      <c r="O291">
        <f t="shared" si="14"/>
        <v>2019</v>
      </c>
    </row>
    <row r="292" spans="1:15" x14ac:dyDescent="0.25">
      <c r="A292">
        <v>291</v>
      </c>
      <c r="B292" t="s">
        <v>73</v>
      </c>
      <c r="C292" t="s">
        <v>64</v>
      </c>
      <c r="D292" t="str">
        <f t="shared" si="12"/>
        <v>Daniel Anderson</v>
      </c>
      <c r="E292" t="s">
        <v>28</v>
      </c>
      <c r="F292">
        <v>39</v>
      </c>
      <c r="G292" t="s">
        <v>20</v>
      </c>
      <c r="H292" t="s">
        <v>31</v>
      </c>
      <c r="I292" s="1">
        <v>43216</v>
      </c>
      <c r="J292" s="2">
        <v>88218</v>
      </c>
      <c r="K292">
        <v>2</v>
      </c>
      <c r="L292">
        <v>7</v>
      </c>
      <c r="M292" t="s">
        <v>17</v>
      </c>
      <c r="N292" t="str">
        <f t="shared" si="13"/>
        <v>31-40</v>
      </c>
      <c r="O292">
        <f t="shared" si="14"/>
        <v>2018</v>
      </c>
    </row>
    <row r="293" spans="1:15" x14ac:dyDescent="0.25">
      <c r="A293">
        <v>292</v>
      </c>
      <c r="B293" t="s">
        <v>57</v>
      </c>
      <c r="C293" t="s">
        <v>37</v>
      </c>
      <c r="D293" t="str">
        <f t="shared" si="12"/>
        <v>Patricia Taylor</v>
      </c>
      <c r="E293" t="s">
        <v>14</v>
      </c>
      <c r="F293">
        <v>48</v>
      </c>
      <c r="G293" t="s">
        <v>39</v>
      </c>
      <c r="H293" t="s">
        <v>21</v>
      </c>
      <c r="I293" s="1">
        <v>42462</v>
      </c>
      <c r="J293" s="2">
        <v>68026</v>
      </c>
      <c r="K293">
        <v>5</v>
      </c>
      <c r="L293">
        <v>9</v>
      </c>
      <c r="M293" t="s">
        <v>17</v>
      </c>
      <c r="N293" t="str">
        <f t="shared" si="13"/>
        <v>41-50</v>
      </c>
      <c r="O293">
        <f t="shared" si="14"/>
        <v>2016</v>
      </c>
    </row>
    <row r="294" spans="1:15" x14ac:dyDescent="0.25">
      <c r="A294">
        <v>293</v>
      </c>
      <c r="B294" t="s">
        <v>32</v>
      </c>
      <c r="C294" t="s">
        <v>37</v>
      </c>
      <c r="D294" t="str">
        <f t="shared" si="12"/>
        <v>Karen Taylor</v>
      </c>
      <c r="E294" t="s">
        <v>14</v>
      </c>
      <c r="F294">
        <v>48</v>
      </c>
      <c r="G294" t="s">
        <v>20</v>
      </c>
      <c r="H294" t="s">
        <v>21</v>
      </c>
      <c r="I294" s="1">
        <v>43366</v>
      </c>
      <c r="J294" s="2">
        <v>81226</v>
      </c>
      <c r="K294">
        <v>2</v>
      </c>
      <c r="L294">
        <v>7</v>
      </c>
      <c r="M294" t="s">
        <v>17</v>
      </c>
      <c r="N294" t="str">
        <f t="shared" si="13"/>
        <v>41-50</v>
      </c>
      <c r="O294">
        <f t="shared" si="14"/>
        <v>2018</v>
      </c>
    </row>
    <row r="295" spans="1:15" x14ac:dyDescent="0.25">
      <c r="A295">
        <v>294</v>
      </c>
      <c r="B295" t="s">
        <v>42</v>
      </c>
      <c r="C295" t="s">
        <v>70</v>
      </c>
      <c r="D295" t="str">
        <f t="shared" si="12"/>
        <v>William Harris</v>
      </c>
      <c r="E295" t="s">
        <v>28</v>
      </c>
      <c r="F295">
        <v>27</v>
      </c>
      <c r="G295" t="s">
        <v>41</v>
      </c>
      <c r="H295" t="s">
        <v>25</v>
      </c>
      <c r="I295" s="1">
        <v>42700</v>
      </c>
      <c r="J295" s="2">
        <v>70982</v>
      </c>
      <c r="K295">
        <v>5</v>
      </c>
      <c r="L295">
        <v>9</v>
      </c>
      <c r="M295" t="s">
        <v>17</v>
      </c>
      <c r="N295" t="str">
        <f t="shared" si="13"/>
        <v>20-30</v>
      </c>
      <c r="O295">
        <f t="shared" si="14"/>
        <v>2016</v>
      </c>
    </row>
    <row r="296" spans="1:15" x14ac:dyDescent="0.25">
      <c r="A296">
        <v>295</v>
      </c>
      <c r="B296" t="s">
        <v>36</v>
      </c>
      <c r="C296" t="s">
        <v>56</v>
      </c>
      <c r="D296" t="str">
        <f t="shared" si="12"/>
        <v>Michael Garcia</v>
      </c>
      <c r="E296" t="s">
        <v>28</v>
      </c>
      <c r="F296">
        <v>60</v>
      </c>
      <c r="G296" t="s">
        <v>55</v>
      </c>
      <c r="H296" t="s">
        <v>21</v>
      </c>
      <c r="I296" s="1">
        <v>44492</v>
      </c>
      <c r="J296" s="2">
        <v>31023</v>
      </c>
      <c r="K296">
        <v>5</v>
      </c>
      <c r="L296">
        <v>4</v>
      </c>
      <c r="M296" t="s">
        <v>17</v>
      </c>
      <c r="N296" t="str">
        <f t="shared" si="13"/>
        <v>51-60</v>
      </c>
      <c r="O296">
        <f t="shared" si="14"/>
        <v>2021</v>
      </c>
    </row>
    <row r="297" spans="1:15" x14ac:dyDescent="0.25">
      <c r="A297">
        <v>296</v>
      </c>
      <c r="B297" t="s">
        <v>22</v>
      </c>
      <c r="C297" t="s">
        <v>30</v>
      </c>
      <c r="D297" t="str">
        <f t="shared" si="12"/>
        <v>Olivia Lee</v>
      </c>
      <c r="E297" t="s">
        <v>14</v>
      </c>
      <c r="F297">
        <v>49</v>
      </c>
      <c r="G297" t="s">
        <v>20</v>
      </c>
      <c r="H297" t="s">
        <v>25</v>
      </c>
      <c r="I297" s="1">
        <v>44541</v>
      </c>
      <c r="J297" s="2">
        <v>28491</v>
      </c>
      <c r="K297">
        <v>3</v>
      </c>
      <c r="L297">
        <v>4</v>
      </c>
      <c r="M297" t="s">
        <v>26</v>
      </c>
      <c r="N297" t="str">
        <f t="shared" si="13"/>
        <v>41-50</v>
      </c>
      <c r="O297">
        <f t="shared" si="14"/>
        <v>2021</v>
      </c>
    </row>
    <row r="298" spans="1:15" x14ac:dyDescent="0.25">
      <c r="A298">
        <v>297</v>
      </c>
      <c r="B298" t="s">
        <v>32</v>
      </c>
      <c r="C298" t="s">
        <v>23</v>
      </c>
      <c r="D298" t="str">
        <f t="shared" si="12"/>
        <v>Karen Johnson</v>
      </c>
      <c r="E298" t="s">
        <v>14</v>
      </c>
      <c r="F298">
        <v>46</v>
      </c>
      <c r="G298" t="s">
        <v>24</v>
      </c>
      <c r="H298" t="s">
        <v>31</v>
      </c>
      <c r="I298" s="1">
        <v>40984</v>
      </c>
      <c r="J298" s="2">
        <v>60026</v>
      </c>
      <c r="K298">
        <v>1</v>
      </c>
      <c r="L298">
        <v>13</v>
      </c>
      <c r="M298" t="s">
        <v>26</v>
      </c>
      <c r="N298" t="str">
        <f t="shared" si="13"/>
        <v>41-50</v>
      </c>
      <c r="O298">
        <f t="shared" si="14"/>
        <v>2012</v>
      </c>
    </row>
    <row r="299" spans="1:15" x14ac:dyDescent="0.25">
      <c r="A299">
        <v>298</v>
      </c>
      <c r="B299" t="s">
        <v>65</v>
      </c>
      <c r="C299" t="s">
        <v>37</v>
      </c>
      <c r="D299" t="str">
        <f t="shared" si="12"/>
        <v>Charles Taylor</v>
      </c>
      <c r="E299" t="s">
        <v>28</v>
      </c>
      <c r="F299">
        <v>38</v>
      </c>
      <c r="G299" t="s">
        <v>39</v>
      </c>
      <c r="H299" t="s">
        <v>34</v>
      </c>
      <c r="I299" s="1">
        <v>40260</v>
      </c>
      <c r="J299" s="2">
        <v>47361</v>
      </c>
      <c r="K299">
        <v>4</v>
      </c>
      <c r="L299">
        <v>15</v>
      </c>
      <c r="M299" t="s">
        <v>26</v>
      </c>
      <c r="N299" t="str">
        <f t="shared" si="13"/>
        <v>31-40</v>
      </c>
      <c r="O299">
        <f t="shared" si="14"/>
        <v>2010</v>
      </c>
    </row>
    <row r="300" spans="1:15" x14ac:dyDescent="0.25">
      <c r="A300">
        <v>299</v>
      </c>
      <c r="B300" t="s">
        <v>62</v>
      </c>
      <c r="C300" t="s">
        <v>30</v>
      </c>
      <c r="D300" t="str">
        <f t="shared" si="12"/>
        <v>Jessica Lee</v>
      </c>
      <c r="E300" t="s">
        <v>14</v>
      </c>
      <c r="F300">
        <v>57</v>
      </c>
      <c r="G300" t="s">
        <v>39</v>
      </c>
      <c r="H300" t="s">
        <v>21</v>
      </c>
      <c r="I300" s="1">
        <v>42781</v>
      </c>
      <c r="J300" s="2">
        <v>39121</v>
      </c>
      <c r="K300">
        <v>3</v>
      </c>
      <c r="L300">
        <v>8</v>
      </c>
      <c r="M300" t="s">
        <v>26</v>
      </c>
      <c r="N300" t="str">
        <f t="shared" si="13"/>
        <v>51-60</v>
      </c>
      <c r="O300">
        <f t="shared" si="14"/>
        <v>2017</v>
      </c>
    </row>
    <row r="301" spans="1:15" x14ac:dyDescent="0.25">
      <c r="A301">
        <v>300</v>
      </c>
      <c r="B301" t="s">
        <v>29</v>
      </c>
      <c r="C301" t="s">
        <v>33</v>
      </c>
      <c r="D301" t="str">
        <f t="shared" si="12"/>
        <v>Jennifer Hall</v>
      </c>
      <c r="E301" t="s">
        <v>14</v>
      </c>
      <c r="F301">
        <v>48</v>
      </c>
      <c r="G301" t="s">
        <v>24</v>
      </c>
      <c r="H301" t="s">
        <v>25</v>
      </c>
      <c r="I301" s="1">
        <v>40186</v>
      </c>
      <c r="J301" s="2">
        <v>56731</v>
      </c>
      <c r="K301">
        <v>3</v>
      </c>
      <c r="L301">
        <v>16</v>
      </c>
      <c r="M301" t="s">
        <v>26</v>
      </c>
      <c r="N301" t="str">
        <f t="shared" si="13"/>
        <v>41-50</v>
      </c>
      <c r="O301">
        <f t="shared" si="14"/>
        <v>2010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099DC-1E19-423B-92F0-9AA73A5D41A1}">
  <sheetPr codeName="Sheet3"/>
  <dimension ref="A1"/>
  <sheetViews>
    <sheetView showGridLines="0" tabSelected="1" zoomScale="55" zoomScaleNormal="55" workbookViewId="0">
      <selection activeCell="AB52" sqref="AB52"/>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Sheet1</vt:lpstr>
      <vt:lpstr>HR_Dataset_EN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cp:lastModifiedBy>
  <dcterms:created xsi:type="dcterms:W3CDTF">2026-01-31T20:32:29Z</dcterms:created>
  <dcterms:modified xsi:type="dcterms:W3CDTF">2026-02-01T19:09:13Z</dcterms:modified>
</cp:coreProperties>
</file>